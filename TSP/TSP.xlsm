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dha\Downloads\"/>
    </mc:Choice>
  </mc:AlternateContent>
  <xr:revisionPtr revIDLastSave="0" documentId="13_ncr:1_{4ED53873-5A8A-41D0-BF8A-7D337F9D04A2}" xr6:coauthVersionLast="47" xr6:coauthVersionMax="47" xr10:uidLastSave="{00000000-0000-0000-0000-000000000000}"/>
  <bookViews>
    <workbookView xWindow="-108" yWindow="-108" windowWidth="23256" windowHeight="13176" activeTab="2" xr2:uid="{45132A68-704E-4ED3-A8C5-54D3FF2B8AD3}"/>
  </bookViews>
  <sheets>
    <sheet name="Adj" sheetId="1" r:id="rId1"/>
    <sheet name="Cost" sheetId="3" r:id="rId2"/>
    <sheet name="Optim" sheetId="2" r:id="rId3"/>
  </sheets>
  <definedNames>
    <definedName name="OpenSolver_ChosenSolver" localSheetId="2" hidden="1">CBC</definedName>
    <definedName name="OpenSolver_DualsNewSheet" localSheetId="2" hidden="1">0</definedName>
    <definedName name="OpenSolver_LinearityCheck" localSheetId="2" hidden="1">1</definedName>
    <definedName name="OpenSolver_UpdateSensitivity" localSheetId="2" hidden="1">1</definedName>
    <definedName name="solver_adj" localSheetId="2" hidden="1">Optim!$H$3:$H$16,Optim!$F$3:$F$16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Optim!$F$3:$F$16</definedName>
    <definedName name="solver_lhs2" localSheetId="2" hidden="1">Optim!$H$3:$H$16</definedName>
    <definedName name="solver_lhs3" localSheetId="2" hidden="1">Optim!$C$20:$C$33</definedName>
    <definedName name="solver_lhs4" localSheetId="2" hidden="1">Optim!$E$36:$K$36</definedName>
    <definedName name="solver_lhs5" localSheetId="2" hidden="1">Optim!$E$39:$K$39</definedName>
    <definedName name="solver_neg" localSheetId="2" hidden="1">1</definedName>
    <definedName name="solver_num" localSheetId="2" hidden="1">5</definedName>
    <definedName name="solver_nwt" localSheetId="2" hidden="1">1</definedName>
    <definedName name="solver_opt" localSheetId="2" hidden="1">Optim!$M$3</definedName>
    <definedName name="solver_rel1" localSheetId="2" hidden="1">5</definedName>
    <definedName name="solver_rel2" localSheetId="2" hidden="1">5</definedName>
    <definedName name="solver_rel3" localSheetId="2" hidden="1">1</definedName>
    <definedName name="solver_rel4" localSheetId="2" hidden="1">2</definedName>
    <definedName name="solver_rel5" localSheetId="2" hidden="1">2</definedName>
    <definedName name="solver_rhs1" localSheetId="2" hidden="1">binary</definedName>
    <definedName name="solver_rhs2" localSheetId="2" hidden="1">binary</definedName>
    <definedName name="solver_rhs3" localSheetId="2" hidden="1">Optim!$E$20:$E$33</definedName>
    <definedName name="solver_rhs4" localSheetId="2" hidden="1">Optim!$E$37:$K$37</definedName>
    <definedName name="solver_rhs5" localSheetId="2" hidden="1">Optim!$E$40:$K$40</definedName>
    <definedName name="solver_rlx" localSheetId="2" hidden="1">2</definedName>
    <definedName name="solver_scl" localSheetId="2" hidden="1">2</definedName>
    <definedName name="solver_sho" localSheetId="2" hidden="1">0</definedName>
    <definedName name="solver_tim" localSheetId="2" hidden="1">2147483647</definedName>
    <definedName name="solver_tol" localSheetId="2" hidden="1">0.05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J4" i="2"/>
  <c r="J5" i="2"/>
  <c r="J6" i="2"/>
  <c r="J7" i="2"/>
  <c r="J8" i="2"/>
  <c r="J9" i="2"/>
  <c r="J10" i="2"/>
  <c r="J11" i="2"/>
  <c r="J12" i="2"/>
  <c r="J13" i="2"/>
  <c r="J14" i="2"/>
  <c r="J15" i="2"/>
  <c r="J3" i="2"/>
  <c r="K39" i="2"/>
  <c r="J39" i="2"/>
  <c r="I39" i="2"/>
  <c r="H39" i="2"/>
  <c r="G39" i="2"/>
  <c r="F39" i="2"/>
  <c r="E39" i="2"/>
  <c r="E36" i="2"/>
  <c r="K36" i="2"/>
  <c r="J36" i="2"/>
  <c r="I36" i="2"/>
  <c r="H36" i="2"/>
  <c r="G36" i="2"/>
  <c r="F36" i="2"/>
  <c r="C25" i="2"/>
  <c r="C21" i="2"/>
  <c r="C22" i="2"/>
  <c r="C23" i="2"/>
  <c r="C24" i="2"/>
  <c r="C26" i="2"/>
  <c r="C27" i="2"/>
  <c r="C28" i="2"/>
  <c r="C29" i="2"/>
  <c r="C30" i="2"/>
  <c r="C31" i="2"/>
  <c r="C32" i="2"/>
  <c r="C33" i="2"/>
  <c r="C20" i="2"/>
  <c r="M3" i="2" l="1"/>
</calcChain>
</file>

<file path=xl/sharedStrings.xml><?xml version="1.0" encoding="utf-8"?>
<sst xmlns="http://schemas.openxmlformats.org/spreadsheetml/2006/main" count="83" uniqueCount="57">
  <si>
    <t>Number of Vertices</t>
  </si>
  <si>
    <t>F12</t>
  </si>
  <si>
    <t>F13</t>
  </si>
  <si>
    <t>F14</t>
  </si>
  <si>
    <t>F15</t>
  </si>
  <si>
    <t>F16</t>
  </si>
  <si>
    <t>F17</t>
  </si>
  <si>
    <t>F23</t>
  </si>
  <si>
    <t>F24</t>
  </si>
  <si>
    <t>F27</t>
  </si>
  <si>
    <t>F34</t>
  </si>
  <si>
    <t>F45</t>
  </si>
  <si>
    <t>F56</t>
  </si>
  <si>
    <t>F57</t>
  </si>
  <si>
    <t>F67</t>
  </si>
  <si>
    <t>F21</t>
  </si>
  <si>
    <t>F31</t>
  </si>
  <si>
    <t>F41</t>
  </si>
  <si>
    <t>F51</t>
  </si>
  <si>
    <t>F61</t>
  </si>
  <si>
    <t>F71</t>
  </si>
  <si>
    <t>F32</t>
  </si>
  <si>
    <t>F42</t>
  </si>
  <si>
    <t>F72</t>
  </si>
  <si>
    <t>F43</t>
  </si>
  <si>
    <t>F54</t>
  </si>
  <si>
    <t>F65</t>
  </si>
  <si>
    <t>F75</t>
  </si>
  <si>
    <t>F76</t>
  </si>
  <si>
    <t>Constraint 1</t>
  </si>
  <si>
    <t>&lt;=</t>
  </si>
  <si>
    <t>Node 1</t>
  </si>
  <si>
    <t>Node 2</t>
  </si>
  <si>
    <t>Node 3</t>
  </si>
  <si>
    <t>Node 4</t>
  </si>
  <si>
    <t>Node 5</t>
  </si>
  <si>
    <t>Node 6</t>
  </si>
  <si>
    <t>Constraint 2</t>
  </si>
  <si>
    <t>(sum(Fji)=1</t>
  </si>
  <si>
    <t>Constraint 3</t>
  </si>
  <si>
    <t>(sum(Fik)=1</t>
  </si>
  <si>
    <t>D12</t>
  </si>
  <si>
    <t>D13</t>
  </si>
  <si>
    <t>D14</t>
  </si>
  <si>
    <t>D15</t>
  </si>
  <si>
    <t>D16</t>
  </si>
  <si>
    <t>D17</t>
  </si>
  <si>
    <t>D23</t>
  </si>
  <si>
    <t>D24</t>
  </si>
  <si>
    <t>D27</t>
  </si>
  <si>
    <t>D34</t>
  </si>
  <si>
    <t>D45</t>
  </si>
  <si>
    <t>D56</t>
  </si>
  <si>
    <t>D57</t>
  </si>
  <si>
    <t>D67</t>
  </si>
  <si>
    <t>Node 7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</si>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</sst>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8AB63901-9AB9-41D1-B624-0900F683F86A}"/>
            </a:ext>
          </a:extLst>
        </xdr:cNvPr>
        <xdr:cNvSpPr/>
      </xdr:nvSpPr>
      <xdr:spPr>
        <a:xfrm>
          <a:off x="5448300" y="365760"/>
          <a:ext cx="609600" cy="256032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16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683CA548-F6EC-4872-AC4F-1D6A1F2D8675}"/>
            </a:ext>
          </a:extLst>
        </xdr:cNvPr>
        <xdr:cNvSpPr/>
      </xdr:nvSpPr>
      <xdr:spPr>
        <a:xfrm>
          <a:off x="4229100" y="365760"/>
          <a:ext cx="609600" cy="256032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EF6A569C-B5A0-4DFC-A1D7-BE11CBC2F84D}"/>
            </a:ext>
          </a:extLst>
        </xdr:cNvPr>
        <xdr:cNvSpPr/>
      </xdr:nvSpPr>
      <xdr:spPr>
        <a:xfrm>
          <a:off x="8496300" y="365760"/>
          <a:ext cx="6096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11</xdr:col>
      <xdr:colOff>596900</xdr:colOff>
      <xdr:row>1</xdr:row>
      <xdr:rowOff>109220</xdr:rowOff>
    </xdr:from>
    <xdr:to>
      <xdr:col>12</xdr:col>
      <xdr:colOff>218389</xdr:colOff>
      <xdr:row>2</xdr:row>
      <xdr:rowOff>53340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39A2CDC8-29ED-45EE-BFA9-93D4FB8A0C64}"/>
            </a:ext>
          </a:extLst>
        </xdr:cNvPr>
        <xdr:cNvSpPr/>
      </xdr:nvSpPr>
      <xdr:spPr>
        <a:xfrm>
          <a:off x="8483600" y="29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3</xdr:col>
      <xdr:colOff>0</xdr:colOff>
      <xdr:row>33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479C105-F826-4E35-B8C8-ABCEBBDAD1A9}"/>
            </a:ext>
          </a:extLst>
        </xdr:cNvPr>
        <xdr:cNvSpPr/>
      </xdr:nvSpPr>
      <xdr:spPr>
        <a:xfrm>
          <a:off x="2141220" y="3474720"/>
          <a:ext cx="868680" cy="256032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7" name="OpenSolver6">
          <a:extLst>
            <a:ext uri="{FF2B5EF4-FFF2-40B4-BE49-F238E27FC236}">
              <a16:creationId xmlns:a16="http://schemas.microsoft.com/office/drawing/2014/main" id="{D6480B93-B46E-46D5-89DF-D4F9D6A7E57E}"/>
            </a:ext>
          </a:extLst>
        </xdr:cNvPr>
        <xdr:cNvSpPr/>
      </xdr:nvSpPr>
      <xdr:spPr>
        <a:xfrm>
          <a:off x="3619500" y="3474720"/>
          <a:ext cx="609600" cy="256032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26</xdr:row>
      <xdr:rowOff>0</xdr:rowOff>
    </xdr:to>
    <xdr:cxnSp macro="">
      <xdr:nvCxnSpPr>
        <xdr:cNvPr id="8" name="OpenSolver7">
          <a:extLst>
            <a:ext uri="{FF2B5EF4-FFF2-40B4-BE49-F238E27FC236}">
              <a16:creationId xmlns:a16="http://schemas.microsoft.com/office/drawing/2014/main" id="{882306D2-BC0F-4244-BAC2-9856232CDDD3}"/>
            </a:ext>
          </a:extLst>
        </xdr:cNvPr>
        <xdr:cNvCxnSpPr>
          <a:stCxn id="6" idx="3"/>
          <a:endCxn id="7" idx="1"/>
        </xdr:cNvCxnSpPr>
      </xdr:nvCxnSpPr>
      <xdr:spPr>
        <a:xfrm>
          <a:off x="3009900" y="475488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25</xdr:row>
      <xdr:rowOff>55880</xdr:rowOff>
    </xdr:from>
    <xdr:to>
      <xdr:col>3</xdr:col>
      <xdr:colOff>495300</xdr:colOff>
      <xdr:row>26</xdr:row>
      <xdr:rowOff>127000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704DA395-7192-4E87-9090-F95221F9C43B}"/>
            </a:ext>
          </a:extLst>
        </xdr:cNvPr>
        <xdr:cNvSpPr/>
      </xdr:nvSpPr>
      <xdr:spPr>
        <a:xfrm>
          <a:off x="3124200" y="462788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B854D13A-38A6-4B87-84D1-DDA7DDDFAB68}"/>
            </a:ext>
          </a:extLst>
        </xdr:cNvPr>
        <xdr:cNvSpPr/>
      </xdr:nvSpPr>
      <xdr:spPr>
        <a:xfrm>
          <a:off x="3619500" y="6400800"/>
          <a:ext cx="42672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11</xdr:col>
      <xdr:colOff>0</xdr:colOff>
      <xdr:row>37</xdr:row>
      <xdr:rowOff>1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DD9055C0-D634-4FE0-83F5-72358C03F5D3}"/>
            </a:ext>
          </a:extLst>
        </xdr:cNvPr>
        <xdr:cNvSpPr/>
      </xdr:nvSpPr>
      <xdr:spPr>
        <a:xfrm>
          <a:off x="3619500" y="6583680"/>
          <a:ext cx="4267200" cy="182881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7</xdr:col>
      <xdr:colOff>304800</xdr:colOff>
      <xdr:row>36</xdr:row>
      <xdr:rowOff>0</xdr:rowOff>
    </xdr:from>
    <xdr:to>
      <xdr:col>7</xdr:col>
      <xdr:colOff>304800</xdr:colOff>
      <xdr:row>36</xdr:row>
      <xdr:rowOff>0</xdr:rowOff>
    </xdr:to>
    <xdr:cxnSp macro="">
      <xdr:nvCxnSpPr>
        <xdr:cNvPr id="12" name="OpenSolver11">
          <a:extLst>
            <a:ext uri="{FF2B5EF4-FFF2-40B4-BE49-F238E27FC236}">
              <a16:creationId xmlns:a16="http://schemas.microsoft.com/office/drawing/2014/main" id="{2B9280B3-1E94-465E-9A8B-DE631B458E8D}"/>
            </a:ext>
          </a:extLst>
        </xdr:cNvPr>
        <xdr:cNvCxnSpPr>
          <a:stCxn id="10" idx="2"/>
          <a:endCxn id="11" idx="0"/>
        </xdr:cNvCxnSpPr>
      </xdr:nvCxnSpPr>
      <xdr:spPr>
        <a:xfrm>
          <a:off x="5753100" y="658368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35</xdr:row>
      <xdr:rowOff>55880</xdr:rowOff>
    </xdr:from>
    <xdr:to>
      <xdr:col>7</xdr:col>
      <xdr:colOff>495300</xdr:colOff>
      <xdr:row>36</xdr:row>
      <xdr:rowOff>127000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B12C3014-41E8-46A1-91FC-48376BA893F4}"/>
            </a:ext>
          </a:extLst>
        </xdr:cNvPr>
        <xdr:cNvSpPr/>
      </xdr:nvSpPr>
      <xdr:spPr>
        <a:xfrm>
          <a:off x="5562600" y="645668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11</xdr:col>
      <xdr:colOff>0</xdr:colOff>
      <xdr:row>39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1D991EA9-B373-42C5-AE32-12BD44D1BB11}"/>
            </a:ext>
          </a:extLst>
        </xdr:cNvPr>
        <xdr:cNvSpPr/>
      </xdr:nvSpPr>
      <xdr:spPr>
        <a:xfrm>
          <a:off x="3619500" y="6949440"/>
          <a:ext cx="42672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</xdr:col>
      <xdr:colOff>0</xdr:colOff>
      <xdr:row>39</xdr:row>
      <xdr:rowOff>9525</xdr:rowOff>
    </xdr:from>
    <xdr:to>
      <xdr:col>11</xdr:col>
      <xdr:colOff>0</xdr:colOff>
      <xdr:row>40</xdr:row>
      <xdr:rowOff>9525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6B853EAA-2DBD-4757-969B-CBCB297FE7AC}"/>
            </a:ext>
          </a:extLst>
        </xdr:cNvPr>
        <xdr:cNvSpPr/>
      </xdr:nvSpPr>
      <xdr:spPr>
        <a:xfrm>
          <a:off x="3619500" y="7067550"/>
          <a:ext cx="4267200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304800</xdr:colOff>
      <xdr:row>39</xdr:row>
      <xdr:rowOff>0</xdr:rowOff>
    </xdr:from>
    <xdr:to>
      <xdr:col>7</xdr:col>
      <xdr:colOff>304800</xdr:colOff>
      <xdr:row>39</xdr:row>
      <xdr:rowOff>9525</xdr:rowOff>
    </xdr:to>
    <xdr:cxnSp macro="">
      <xdr:nvCxnSpPr>
        <xdr:cNvPr id="16" name="OpenSolver15">
          <a:extLst>
            <a:ext uri="{FF2B5EF4-FFF2-40B4-BE49-F238E27FC236}">
              <a16:creationId xmlns:a16="http://schemas.microsoft.com/office/drawing/2014/main" id="{BEAB84B4-CB88-4CF1-99B2-3CBAE5E362D3}"/>
            </a:ext>
          </a:extLst>
        </xdr:cNvPr>
        <xdr:cNvCxnSpPr>
          <a:stCxn id="14" idx="2"/>
          <a:endCxn id="15" idx="0"/>
        </xdr:cNvCxnSpPr>
      </xdr:nvCxnSpPr>
      <xdr:spPr>
        <a:xfrm>
          <a:off x="5753100" y="7058025"/>
          <a:ext cx="0" cy="95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38</xdr:row>
      <xdr:rowOff>55880</xdr:rowOff>
    </xdr:from>
    <xdr:to>
      <xdr:col>7</xdr:col>
      <xdr:colOff>495300</xdr:colOff>
      <xdr:row>39</xdr:row>
      <xdr:rowOff>127000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AD77764F-0DA5-49BD-AACB-D79F7120B305}"/>
            </a:ext>
          </a:extLst>
        </xdr:cNvPr>
        <xdr:cNvSpPr/>
      </xdr:nvSpPr>
      <xdr:spPr>
        <a:xfrm>
          <a:off x="5562600" y="700532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12700</xdr:colOff>
      <xdr:row>2</xdr:row>
      <xdr:rowOff>15240</xdr:rowOff>
    </xdr:from>
    <xdr:to>
      <xdr:col>5</xdr:col>
      <xdr:colOff>99006</xdr:colOff>
      <xdr:row>2</xdr:row>
      <xdr:rowOff>129540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6F2FDDFA-9D0E-4075-BEBA-BB3BCDFD1CC4}"/>
            </a:ext>
          </a:extLst>
        </xdr:cNvPr>
        <xdr:cNvSpPr/>
      </xdr:nvSpPr>
      <xdr:spPr>
        <a:xfrm>
          <a:off x="4241800" y="3810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10160</xdr:rowOff>
    </xdr:from>
    <xdr:to>
      <xdr:col>5</xdr:col>
      <xdr:colOff>99006</xdr:colOff>
      <xdr:row>3</xdr:row>
      <xdr:rowOff>124460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DBBBAB25-60E1-4F73-A15B-A3D62421054D}"/>
            </a:ext>
          </a:extLst>
        </xdr:cNvPr>
        <xdr:cNvSpPr/>
      </xdr:nvSpPr>
      <xdr:spPr>
        <a:xfrm>
          <a:off x="4241800" y="5588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17780</xdr:rowOff>
    </xdr:from>
    <xdr:to>
      <xdr:col>5</xdr:col>
      <xdr:colOff>99006</xdr:colOff>
      <xdr:row>4</xdr:row>
      <xdr:rowOff>132080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A90A16E9-5D23-459E-B398-F004DF05C0D8}"/>
            </a:ext>
          </a:extLst>
        </xdr:cNvPr>
        <xdr:cNvSpPr/>
      </xdr:nvSpPr>
      <xdr:spPr>
        <a:xfrm>
          <a:off x="4241800" y="749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5</xdr:row>
      <xdr:rowOff>12700</xdr:rowOff>
    </xdr:from>
    <xdr:to>
      <xdr:col>5</xdr:col>
      <xdr:colOff>99006</xdr:colOff>
      <xdr:row>5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2E653715-88D4-4C25-ACBB-8801CF36AC9D}"/>
            </a:ext>
          </a:extLst>
        </xdr:cNvPr>
        <xdr:cNvSpPr/>
      </xdr:nvSpPr>
      <xdr:spPr>
        <a:xfrm>
          <a:off x="4241800" y="927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6</xdr:row>
      <xdr:rowOff>7620</xdr:rowOff>
    </xdr:from>
    <xdr:to>
      <xdr:col>5</xdr:col>
      <xdr:colOff>99006</xdr:colOff>
      <xdr:row>6</xdr:row>
      <xdr:rowOff>121920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F1A1C196-4632-4463-A440-D3E2ADD1BBD5}"/>
            </a:ext>
          </a:extLst>
        </xdr:cNvPr>
        <xdr:cNvSpPr/>
      </xdr:nvSpPr>
      <xdr:spPr>
        <a:xfrm>
          <a:off x="4241800" y="1104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7</xdr:row>
      <xdr:rowOff>15240</xdr:rowOff>
    </xdr:from>
    <xdr:to>
      <xdr:col>5</xdr:col>
      <xdr:colOff>99006</xdr:colOff>
      <xdr:row>7</xdr:row>
      <xdr:rowOff>129540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95049DB8-C7CE-492A-AAFB-790DD538F2F2}"/>
            </a:ext>
          </a:extLst>
        </xdr:cNvPr>
        <xdr:cNvSpPr/>
      </xdr:nvSpPr>
      <xdr:spPr>
        <a:xfrm>
          <a:off x="4241800" y="1295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8</xdr:row>
      <xdr:rowOff>10160</xdr:rowOff>
    </xdr:from>
    <xdr:to>
      <xdr:col>5</xdr:col>
      <xdr:colOff>99006</xdr:colOff>
      <xdr:row>8</xdr:row>
      <xdr:rowOff>124460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281B42E2-E9DC-4C52-92A8-6C3C66397393}"/>
            </a:ext>
          </a:extLst>
        </xdr:cNvPr>
        <xdr:cNvSpPr/>
      </xdr:nvSpPr>
      <xdr:spPr>
        <a:xfrm>
          <a:off x="4241800" y="1473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9</xdr:row>
      <xdr:rowOff>17780</xdr:rowOff>
    </xdr:from>
    <xdr:to>
      <xdr:col>5</xdr:col>
      <xdr:colOff>99006</xdr:colOff>
      <xdr:row>9</xdr:row>
      <xdr:rowOff>132080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DC2CFE30-3971-4C28-B37E-1B555AA77990}"/>
            </a:ext>
          </a:extLst>
        </xdr:cNvPr>
        <xdr:cNvSpPr/>
      </xdr:nvSpPr>
      <xdr:spPr>
        <a:xfrm>
          <a:off x="4241800" y="1663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10</xdr:row>
      <xdr:rowOff>12700</xdr:rowOff>
    </xdr:from>
    <xdr:to>
      <xdr:col>5</xdr:col>
      <xdr:colOff>99006</xdr:colOff>
      <xdr:row>10</xdr:row>
      <xdr:rowOff>127000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5D10024F-A1F3-49AC-BE0B-C7EE5CD2E69D}"/>
            </a:ext>
          </a:extLst>
        </xdr:cNvPr>
        <xdr:cNvSpPr/>
      </xdr:nvSpPr>
      <xdr:spPr>
        <a:xfrm>
          <a:off x="4241800" y="1841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11</xdr:row>
      <xdr:rowOff>7620</xdr:rowOff>
    </xdr:from>
    <xdr:to>
      <xdr:col>5</xdr:col>
      <xdr:colOff>99006</xdr:colOff>
      <xdr:row>11</xdr:row>
      <xdr:rowOff>121920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9AF869B7-6A69-44CC-8493-CCB818451105}"/>
            </a:ext>
          </a:extLst>
        </xdr:cNvPr>
        <xdr:cNvSpPr/>
      </xdr:nvSpPr>
      <xdr:spPr>
        <a:xfrm>
          <a:off x="4241800" y="2019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12</xdr:row>
      <xdr:rowOff>15240</xdr:rowOff>
    </xdr:from>
    <xdr:to>
      <xdr:col>5</xdr:col>
      <xdr:colOff>99006</xdr:colOff>
      <xdr:row>12</xdr:row>
      <xdr:rowOff>129540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7B45860C-6F2C-4523-B40A-E735FFFA130E}"/>
            </a:ext>
          </a:extLst>
        </xdr:cNvPr>
        <xdr:cNvSpPr/>
      </xdr:nvSpPr>
      <xdr:spPr>
        <a:xfrm>
          <a:off x="4241800" y="22098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13</xdr:row>
      <xdr:rowOff>10160</xdr:rowOff>
    </xdr:from>
    <xdr:to>
      <xdr:col>5</xdr:col>
      <xdr:colOff>99006</xdr:colOff>
      <xdr:row>13</xdr:row>
      <xdr:rowOff>124460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D29CA10D-7A39-440D-B128-DEC5155999FC}"/>
            </a:ext>
          </a:extLst>
        </xdr:cNvPr>
        <xdr:cNvSpPr/>
      </xdr:nvSpPr>
      <xdr:spPr>
        <a:xfrm>
          <a:off x="4241800" y="2387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14</xdr:row>
      <xdr:rowOff>17780</xdr:rowOff>
    </xdr:from>
    <xdr:to>
      <xdr:col>5</xdr:col>
      <xdr:colOff>99006</xdr:colOff>
      <xdr:row>14</xdr:row>
      <xdr:rowOff>132080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1871B711-9775-45C0-AC00-1D299802D43A}"/>
            </a:ext>
          </a:extLst>
        </xdr:cNvPr>
        <xdr:cNvSpPr/>
      </xdr:nvSpPr>
      <xdr:spPr>
        <a:xfrm>
          <a:off x="4241800" y="2578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15</xdr:row>
      <xdr:rowOff>12700</xdr:rowOff>
    </xdr:from>
    <xdr:to>
      <xdr:col>5</xdr:col>
      <xdr:colOff>99006</xdr:colOff>
      <xdr:row>15</xdr:row>
      <xdr:rowOff>127000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EEE1F414-FCF9-4655-A738-3161DC758746}"/>
            </a:ext>
          </a:extLst>
        </xdr:cNvPr>
        <xdr:cNvSpPr/>
      </xdr:nvSpPr>
      <xdr:spPr>
        <a:xfrm>
          <a:off x="4241800" y="2755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2</xdr:row>
      <xdr:rowOff>15240</xdr:rowOff>
    </xdr:from>
    <xdr:to>
      <xdr:col>7</xdr:col>
      <xdr:colOff>99006</xdr:colOff>
      <xdr:row>2</xdr:row>
      <xdr:rowOff>129540</xdr:rowOff>
    </xdr:to>
    <xdr:sp macro="" textlink="">
      <xdr:nvSpPr>
        <xdr:cNvPr id="32" name="OpenSolver31">
          <a:extLst>
            <a:ext uri="{FF2B5EF4-FFF2-40B4-BE49-F238E27FC236}">
              <a16:creationId xmlns:a16="http://schemas.microsoft.com/office/drawing/2014/main" id="{AB84F539-1DD1-40A1-B5C3-B8E83AA695FB}"/>
            </a:ext>
          </a:extLst>
        </xdr:cNvPr>
        <xdr:cNvSpPr/>
      </xdr:nvSpPr>
      <xdr:spPr>
        <a:xfrm>
          <a:off x="5461000" y="3810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3</xdr:row>
      <xdr:rowOff>10160</xdr:rowOff>
    </xdr:from>
    <xdr:to>
      <xdr:col>7</xdr:col>
      <xdr:colOff>99006</xdr:colOff>
      <xdr:row>3</xdr:row>
      <xdr:rowOff>124460</xdr:rowOff>
    </xdr:to>
    <xdr:sp macro="" textlink="">
      <xdr:nvSpPr>
        <xdr:cNvPr id="33" name="OpenSolver32">
          <a:extLst>
            <a:ext uri="{FF2B5EF4-FFF2-40B4-BE49-F238E27FC236}">
              <a16:creationId xmlns:a16="http://schemas.microsoft.com/office/drawing/2014/main" id="{16817F80-310D-4FE2-BA49-CD79B4B384C9}"/>
            </a:ext>
          </a:extLst>
        </xdr:cNvPr>
        <xdr:cNvSpPr/>
      </xdr:nvSpPr>
      <xdr:spPr>
        <a:xfrm>
          <a:off x="5461000" y="5588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4</xdr:row>
      <xdr:rowOff>17780</xdr:rowOff>
    </xdr:from>
    <xdr:to>
      <xdr:col>7</xdr:col>
      <xdr:colOff>99006</xdr:colOff>
      <xdr:row>4</xdr:row>
      <xdr:rowOff>132080</xdr:rowOff>
    </xdr:to>
    <xdr:sp macro="" textlink="">
      <xdr:nvSpPr>
        <xdr:cNvPr id="34" name="OpenSolver33">
          <a:extLst>
            <a:ext uri="{FF2B5EF4-FFF2-40B4-BE49-F238E27FC236}">
              <a16:creationId xmlns:a16="http://schemas.microsoft.com/office/drawing/2014/main" id="{4FF8BB94-3123-443E-8851-729A47F6520F}"/>
            </a:ext>
          </a:extLst>
        </xdr:cNvPr>
        <xdr:cNvSpPr/>
      </xdr:nvSpPr>
      <xdr:spPr>
        <a:xfrm>
          <a:off x="5461000" y="749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5</xdr:row>
      <xdr:rowOff>12700</xdr:rowOff>
    </xdr:from>
    <xdr:to>
      <xdr:col>7</xdr:col>
      <xdr:colOff>99006</xdr:colOff>
      <xdr:row>5</xdr:row>
      <xdr:rowOff>127000</xdr:rowOff>
    </xdr:to>
    <xdr:sp macro="" textlink="">
      <xdr:nvSpPr>
        <xdr:cNvPr id="35" name="OpenSolver34">
          <a:extLst>
            <a:ext uri="{FF2B5EF4-FFF2-40B4-BE49-F238E27FC236}">
              <a16:creationId xmlns:a16="http://schemas.microsoft.com/office/drawing/2014/main" id="{A92CFAC7-EEDB-4E81-BDB3-BF64B12DBC24}"/>
            </a:ext>
          </a:extLst>
        </xdr:cNvPr>
        <xdr:cNvSpPr/>
      </xdr:nvSpPr>
      <xdr:spPr>
        <a:xfrm>
          <a:off x="5461000" y="927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6</xdr:row>
      <xdr:rowOff>7620</xdr:rowOff>
    </xdr:from>
    <xdr:to>
      <xdr:col>7</xdr:col>
      <xdr:colOff>99006</xdr:colOff>
      <xdr:row>6</xdr:row>
      <xdr:rowOff>121920</xdr:rowOff>
    </xdr:to>
    <xdr:sp macro="" textlink="">
      <xdr:nvSpPr>
        <xdr:cNvPr id="36" name="OpenSolver35">
          <a:extLst>
            <a:ext uri="{FF2B5EF4-FFF2-40B4-BE49-F238E27FC236}">
              <a16:creationId xmlns:a16="http://schemas.microsoft.com/office/drawing/2014/main" id="{106B2B71-B034-4B43-A313-8BDE8FC220F0}"/>
            </a:ext>
          </a:extLst>
        </xdr:cNvPr>
        <xdr:cNvSpPr/>
      </xdr:nvSpPr>
      <xdr:spPr>
        <a:xfrm>
          <a:off x="5461000" y="1104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7</xdr:row>
      <xdr:rowOff>15240</xdr:rowOff>
    </xdr:from>
    <xdr:to>
      <xdr:col>7</xdr:col>
      <xdr:colOff>99006</xdr:colOff>
      <xdr:row>7</xdr:row>
      <xdr:rowOff>129540</xdr:rowOff>
    </xdr:to>
    <xdr:sp macro="" textlink="">
      <xdr:nvSpPr>
        <xdr:cNvPr id="37" name="OpenSolver36">
          <a:extLst>
            <a:ext uri="{FF2B5EF4-FFF2-40B4-BE49-F238E27FC236}">
              <a16:creationId xmlns:a16="http://schemas.microsoft.com/office/drawing/2014/main" id="{43EF4DB3-1686-4008-A73F-7BD819D7C604}"/>
            </a:ext>
          </a:extLst>
        </xdr:cNvPr>
        <xdr:cNvSpPr/>
      </xdr:nvSpPr>
      <xdr:spPr>
        <a:xfrm>
          <a:off x="5461000" y="1295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8</xdr:row>
      <xdr:rowOff>10160</xdr:rowOff>
    </xdr:from>
    <xdr:to>
      <xdr:col>7</xdr:col>
      <xdr:colOff>99006</xdr:colOff>
      <xdr:row>8</xdr:row>
      <xdr:rowOff>124460</xdr:rowOff>
    </xdr:to>
    <xdr:sp macro="" textlink="">
      <xdr:nvSpPr>
        <xdr:cNvPr id="38" name="OpenSolver37">
          <a:extLst>
            <a:ext uri="{FF2B5EF4-FFF2-40B4-BE49-F238E27FC236}">
              <a16:creationId xmlns:a16="http://schemas.microsoft.com/office/drawing/2014/main" id="{4DB273BD-4996-4FFE-AB20-47A7BFED60EC}"/>
            </a:ext>
          </a:extLst>
        </xdr:cNvPr>
        <xdr:cNvSpPr/>
      </xdr:nvSpPr>
      <xdr:spPr>
        <a:xfrm>
          <a:off x="5461000" y="1473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9</xdr:row>
      <xdr:rowOff>17780</xdr:rowOff>
    </xdr:from>
    <xdr:to>
      <xdr:col>7</xdr:col>
      <xdr:colOff>99006</xdr:colOff>
      <xdr:row>9</xdr:row>
      <xdr:rowOff>132080</xdr:rowOff>
    </xdr:to>
    <xdr:sp macro="" textlink="">
      <xdr:nvSpPr>
        <xdr:cNvPr id="39" name="OpenSolver38">
          <a:extLst>
            <a:ext uri="{FF2B5EF4-FFF2-40B4-BE49-F238E27FC236}">
              <a16:creationId xmlns:a16="http://schemas.microsoft.com/office/drawing/2014/main" id="{F52C58C4-C48A-43A6-B9B5-F696D81F6258}"/>
            </a:ext>
          </a:extLst>
        </xdr:cNvPr>
        <xdr:cNvSpPr/>
      </xdr:nvSpPr>
      <xdr:spPr>
        <a:xfrm>
          <a:off x="5461000" y="1663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10</xdr:row>
      <xdr:rowOff>12700</xdr:rowOff>
    </xdr:from>
    <xdr:to>
      <xdr:col>7</xdr:col>
      <xdr:colOff>99006</xdr:colOff>
      <xdr:row>10</xdr:row>
      <xdr:rowOff>127000</xdr:rowOff>
    </xdr:to>
    <xdr:sp macro="" textlink="">
      <xdr:nvSpPr>
        <xdr:cNvPr id="40" name="OpenSolver39">
          <a:extLst>
            <a:ext uri="{FF2B5EF4-FFF2-40B4-BE49-F238E27FC236}">
              <a16:creationId xmlns:a16="http://schemas.microsoft.com/office/drawing/2014/main" id="{EE07D308-EE40-483E-907B-E90B6680133D}"/>
            </a:ext>
          </a:extLst>
        </xdr:cNvPr>
        <xdr:cNvSpPr/>
      </xdr:nvSpPr>
      <xdr:spPr>
        <a:xfrm>
          <a:off x="5461000" y="18415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11</xdr:row>
      <xdr:rowOff>7620</xdr:rowOff>
    </xdr:from>
    <xdr:to>
      <xdr:col>7</xdr:col>
      <xdr:colOff>99006</xdr:colOff>
      <xdr:row>11</xdr:row>
      <xdr:rowOff>121920</xdr:rowOff>
    </xdr:to>
    <xdr:sp macro="" textlink="">
      <xdr:nvSpPr>
        <xdr:cNvPr id="41" name="OpenSolver40">
          <a:extLst>
            <a:ext uri="{FF2B5EF4-FFF2-40B4-BE49-F238E27FC236}">
              <a16:creationId xmlns:a16="http://schemas.microsoft.com/office/drawing/2014/main" id="{00C63D5F-8290-4305-AB1F-D3F3E1FD2BAF}"/>
            </a:ext>
          </a:extLst>
        </xdr:cNvPr>
        <xdr:cNvSpPr/>
      </xdr:nvSpPr>
      <xdr:spPr>
        <a:xfrm>
          <a:off x="5461000" y="20193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12</xdr:row>
      <xdr:rowOff>15240</xdr:rowOff>
    </xdr:from>
    <xdr:to>
      <xdr:col>7</xdr:col>
      <xdr:colOff>99006</xdr:colOff>
      <xdr:row>12</xdr:row>
      <xdr:rowOff>129540</xdr:rowOff>
    </xdr:to>
    <xdr:sp macro="" textlink="">
      <xdr:nvSpPr>
        <xdr:cNvPr id="42" name="OpenSolver41">
          <a:extLst>
            <a:ext uri="{FF2B5EF4-FFF2-40B4-BE49-F238E27FC236}">
              <a16:creationId xmlns:a16="http://schemas.microsoft.com/office/drawing/2014/main" id="{2250F053-2293-45A8-BFE1-8C3CBA71AB44}"/>
            </a:ext>
          </a:extLst>
        </xdr:cNvPr>
        <xdr:cNvSpPr/>
      </xdr:nvSpPr>
      <xdr:spPr>
        <a:xfrm>
          <a:off x="5461000" y="22098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13</xdr:row>
      <xdr:rowOff>10160</xdr:rowOff>
    </xdr:from>
    <xdr:to>
      <xdr:col>7</xdr:col>
      <xdr:colOff>99006</xdr:colOff>
      <xdr:row>13</xdr:row>
      <xdr:rowOff>124460</xdr:rowOff>
    </xdr:to>
    <xdr:sp macro="" textlink="">
      <xdr:nvSpPr>
        <xdr:cNvPr id="43" name="OpenSolver42">
          <a:extLst>
            <a:ext uri="{FF2B5EF4-FFF2-40B4-BE49-F238E27FC236}">
              <a16:creationId xmlns:a16="http://schemas.microsoft.com/office/drawing/2014/main" id="{AAEBF1D4-E518-4F18-BB7F-904E49E6C411}"/>
            </a:ext>
          </a:extLst>
        </xdr:cNvPr>
        <xdr:cNvSpPr/>
      </xdr:nvSpPr>
      <xdr:spPr>
        <a:xfrm>
          <a:off x="5461000" y="2387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14</xdr:row>
      <xdr:rowOff>17780</xdr:rowOff>
    </xdr:from>
    <xdr:to>
      <xdr:col>7</xdr:col>
      <xdr:colOff>99006</xdr:colOff>
      <xdr:row>14</xdr:row>
      <xdr:rowOff>132080</xdr:rowOff>
    </xdr:to>
    <xdr:sp macro="" textlink="">
      <xdr:nvSpPr>
        <xdr:cNvPr id="44" name="OpenSolver43">
          <a:extLst>
            <a:ext uri="{FF2B5EF4-FFF2-40B4-BE49-F238E27FC236}">
              <a16:creationId xmlns:a16="http://schemas.microsoft.com/office/drawing/2014/main" id="{D1813FB7-1080-4A3C-8C6D-A7602A46B105}"/>
            </a:ext>
          </a:extLst>
        </xdr:cNvPr>
        <xdr:cNvSpPr/>
      </xdr:nvSpPr>
      <xdr:spPr>
        <a:xfrm>
          <a:off x="5461000" y="2578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15</xdr:row>
      <xdr:rowOff>12700</xdr:rowOff>
    </xdr:from>
    <xdr:to>
      <xdr:col>7</xdr:col>
      <xdr:colOff>99006</xdr:colOff>
      <xdr:row>15</xdr:row>
      <xdr:rowOff>127000</xdr:rowOff>
    </xdr:to>
    <xdr:sp macro="" textlink="">
      <xdr:nvSpPr>
        <xdr:cNvPr id="45" name="OpenSolver44">
          <a:extLst>
            <a:ext uri="{FF2B5EF4-FFF2-40B4-BE49-F238E27FC236}">
              <a16:creationId xmlns:a16="http://schemas.microsoft.com/office/drawing/2014/main" id="{D05823D9-6070-4289-8B47-32570345D6C6}"/>
            </a:ext>
          </a:extLst>
        </xdr:cNvPr>
        <xdr:cNvSpPr/>
      </xdr:nvSpPr>
      <xdr:spPr>
        <a:xfrm>
          <a:off x="5461000" y="2755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F0142-B3C6-425D-8081-875BC1DEB673}">
  <sheetPr codeName="Sheet1"/>
  <dimension ref="A1:H8"/>
  <sheetViews>
    <sheetView workbookViewId="0">
      <selection activeCell="B2" sqref="B2:H8"/>
    </sheetView>
  </sheetViews>
  <sheetFormatPr defaultRowHeight="14.4" x14ac:dyDescent="0.3"/>
  <sheetData>
    <row r="1" spans="1:8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3">
      <c r="A2">
        <v>1</v>
      </c>
      <c r="B2">
        <v>0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3">
      <c r="A3">
        <v>2</v>
      </c>
      <c r="B3">
        <v>1</v>
      </c>
      <c r="C3">
        <v>0</v>
      </c>
      <c r="D3">
        <v>1</v>
      </c>
      <c r="E3">
        <v>1</v>
      </c>
      <c r="F3">
        <v>0</v>
      </c>
      <c r="G3">
        <v>0</v>
      </c>
      <c r="H3">
        <v>1</v>
      </c>
    </row>
    <row r="4" spans="1:8" x14ac:dyDescent="0.3">
      <c r="A4">
        <v>3</v>
      </c>
      <c r="B4">
        <v>1</v>
      </c>
      <c r="C4">
        <v>1</v>
      </c>
      <c r="D4">
        <v>0</v>
      </c>
      <c r="E4">
        <v>1</v>
      </c>
      <c r="F4">
        <v>0</v>
      </c>
      <c r="G4">
        <v>0</v>
      </c>
      <c r="H4">
        <v>0</v>
      </c>
    </row>
    <row r="5" spans="1:8" x14ac:dyDescent="0.3">
      <c r="A5">
        <v>4</v>
      </c>
      <c r="B5">
        <v>1</v>
      </c>
      <c r="C5">
        <v>1</v>
      </c>
      <c r="D5">
        <v>1</v>
      </c>
      <c r="E5">
        <v>0</v>
      </c>
      <c r="F5">
        <v>1</v>
      </c>
      <c r="G5">
        <v>0</v>
      </c>
      <c r="H5">
        <v>0</v>
      </c>
    </row>
    <row r="6" spans="1:8" x14ac:dyDescent="0.3">
      <c r="A6">
        <v>5</v>
      </c>
      <c r="B6">
        <v>1</v>
      </c>
      <c r="C6">
        <v>0</v>
      </c>
      <c r="D6">
        <v>0</v>
      </c>
      <c r="E6">
        <v>1</v>
      </c>
      <c r="F6">
        <v>0</v>
      </c>
      <c r="G6">
        <v>1</v>
      </c>
      <c r="H6">
        <v>1</v>
      </c>
    </row>
    <row r="7" spans="1:8" x14ac:dyDescent="0.3">
      <c r="A7">
        <v>6</v>
      </c>
      <c r="B7">
        <v>1</v>
      </c>
      <c r="C7">
        <v>0</v>
      </c>
      <c r="D7">
        <v>0</v>
      </c>
      <c r="E7">
        <v>0</v>
      </c>
      <c r="F7">
        <v>1</v>
      </c>
      <c r="G7">
        <v>0</v>
      </c>
      <c r="H7">
        <v>1</v>
      </c>
    </row>
    <row r="8" spans="1:8" x14ac:dyDescent="0.3">
      <c r="A8">
        <v>7</v>
      </c>
      <c r="B8">
        <v>1</v>
      </c>
      <c r="C8">
        <v>1</v>
      </c>
      <c r="D8">
        <v>0</v>
      </c>
      <c r="E8">
        <v>0</v>
      </c>
      <c r="F8">
        <v>1</v>
      </c>
      <c r="G8">
        <v>1</v>
      </c>
      <c r="H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2C6B-B1FF-473D-92D9-37C85B3C2B58}">
  <sheetPr codeName="Sheet3"/>
  <dimension ref="A1:H8"/>
  <sheetViews>
    <sheetView workbookViewId="0">
      <selection activeCell="N31" sqref="N31"/>
    </sheetView>
  </sheetViews>
  <sheetFormatPr defaultRowHeight="14.4" x14ac:dyDescent="0.3"/>
  <sheetData>
    <row r="1" spans="1:8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3">
      <c r="A3">
        <v>2</v>
      </c>
      <c r="B3">
        <v>0</v>
      </c>
      <c r="C3">
        <v>0</v>
      </c>
      <c r="D3">
        <v>4</v>
      </c>
      <c r="E3">
        <v>2</v>
      </c>
      <c r="F3">
        <v>0</v>
      </c>
      <c r="G3">
        <v>0</v>
      </c>
      <c r="H3">
        <v>9</v>
      </c>
    </row>
    <row r="4" spans="1:8" x14ac:dyDescent="0.3">
      <c r="A4">
        <v>3</v>
      </c>
      <c r="B4">
        <v>0</v>
      </c>
      <c r="C4">
        <v>4</v>
      </c>
      <c r="D4">
        <v>0</v>
      </c>
      <c r="E4">
        <v>6</v>
      </c>
      <c r="F4">
        <v>0</v>
      </c>
      <c r="G4">
        <v>0</v>
      </c>
      <c r="H4">
        <v>0</v>
      </c>
    </row>
    <row r="5" spans="1:8" x14ac:dyDescent="0.3">
      <c r="A5">
        <v>4</v>
      </c>
      <c r="B5">
        <v>0</v>
      </c>
      <c r="C5">
        <v>2</v>
      </c>
      <c r="D5">
        <v>6</v>
      </c>
      <c r="E5">
        <v>0</v>
      </c>
      <c r="F5">
        <v>10</v>
      </c>
      <c r="G5">
        <v>0</v>
      </c>
      <c r="H5">
        <v>0</v>
      </c>
    </row>
    <row r="6" spans="1:8" x14ac:dyDescent="0.3">
      <c r="A6">
        <v>5</v>
      </c>
      <c r="B6">
        <v>0</v>
      </c>
      <c r="C6">
        <v>0</v>
      </c>
      <c r="D6">
        <v>0</v>
      </c>
      <c r="E6">
        <v>10</v>
      </c>
      <c r="F6">
        <v>0</v>
      </c>
      <c r="G6">
        <v>4</v>
      </c>
      <c r="H6">
        <v>1</v>
      </c>
    </row>
    <row r="7" spans="1:8" x14ac:dyDescent="0.3">
      <c r="A7">
        <v>6</v>
      </c>
      <c r="B7">
        <v>0</v>
      </c>
      <c r="C7">
        <v>0</v>
      </c>
      <c r="D7">
        <v>0</v>
      </c>
      <c r="E7">
        <v>0</v>
      </c>
      <c r="F7">
        <v>4</v>
      </c>
      <c r="G7">
        <v>0</v>
      </c>
      <c r="H7">
        <v>5</v>
      </c>
    </row>
    <row r="8" spans="1:8" x14ac:dyDescent="0.3">
      <c r="A8">
        <v>7</v>
      </c>
      <c r="B8">
        <v>0</v>
      </c>
      <c r="C8">
        <v>9</v>
      </c>
      <c r="D8">
        <v>0</v>
      </c>
      <c r="E8">
        <v>0</v>
      </c>
      <c r="F8">
        <v>2</v>
      </c>
      <c r="G8">
        <v>5</v>
      </c>
      <c r="H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A26E-A065-487D-BB5D-F36A6E1C3C4E}">
  <sheetPr codeName="Sheet2"/>
  <dimension ref="A1:AL40"/>
  <sheetViews>
    <sheetView tabSelected="1" zoomScale="80" workbookViewId="0">
      <selection activeCell="L44" sqref="L44"/>
    </sheetView>
  </sheetViews>
  <sheetFormatPr defaultRowHeight="14.4" x14ac:dyDescent="0.3"/>
  <cols>
    <col min="1" max="1" width="22.33203125" customWidth="1"/>
    <col min="3" max="3" width="12.6640625" customWidth="1"/>
  </cols>
  <sheetData>
    <row r="1" spans="1:38" x14ac:dyDescent="0.3">
      <c r="A1">
        <v>7</v>
      </c>
    </row>
    <row r="3" spans="1:38" x14ac:dyDescent="0.3">
      <c r="A3" t="s">
        <v>0</v>
      </c>
      <c r="B3">
        <v>7</v>
      </c>
      <c r="C3" t="s">
        <v>41</v>
      </c>
      <c r="D3">
        <v>0</v>
      </c>
      <c r="E3" t="s">
        <v>1</v>
      </c>
      <c r="F3">
        <v>0</v>
      </c>
      <c r="G3" t="s">
        <v>15</v>
      </c>
      <c r="H3">
        <v>0</v>
      </c>
      <c r="J3">
        <f>(D3*(F3+H3))</f>
        <v>0</v>
      </c>
      <c r="L3" t="s">
        <v>56</v>
      </c>
      <c r="M3">
        <f>SUM(J3:J16)</f>
        <v>17</v>
      </c>
    </row>
    <row r="4" spans="1:38" x14ac:dyDescent="0.3">
      <c r="C4" t="s">
        <v>42</v>
      </c>
      <c r="D4">
        <v>0</v>
      </c>
      <c r="E4" t="s">
        <v>2</v>
      </c>
      <c r="F4">
        <v>0</v>
      </c>
      <c r="G4" t="s">
        <v>16</v>
      </c>
      <c r="H4">
        <v>0</v>
      </c>
      <c r="J4">
        <f t="shared" ref="J4:J16" si="0">(D4*(F4+H4))</f>
        <v>0</v>
      </c>
    </row>
    <row r="5" spans="1:38" x14ac:dyDescent="0.3">
      <c r="C5" t="s">
        <v>43</v>
      </c>
      <c r="D5">
        <v>0</v>
      </c>
      <c r="E5" t="s">
        <v>3</v>
      </c>
      <c r="F5">
        <v>0</v>
      </c>
      <c r="G5" t="s">
        <v>17</v>
      </c>
      <c r="H5">
        <v>0</v>
      </c>
      <c r="J5">
        <f t="shared" si="0"/>
        <v>0</v>
      </c>
    </row>
    <row r="6" spans="1:38" x14ac:dyDescent="0.3">
      <c r="C6" t="s">
        <v>44</v>
      </c>
      <c r="D6">
        <v>0</v>
      </c>
      <c r="E6" t="s">
        <v>4</v>
      </c>
      <c r="F6">
        <v>0</v>
      </c>
      <c r="G6" t="s">
        <v>18</v>
      </c>
      <c r="H6">
        <v>0</v>
      </c>
      <c r="J6">
        <f t="shared" si="0"/>
        <v>0</v>
      </c>
    </row>
    <row r="7" spans="1:38" x14ac:dyDescent="0.3">
      <c r="C7" t="s">
        <v>45</v>
      </c>
      <c r="D7">
        <v>0</v>
      </c>
      <c r="E7" t="s">
        <v>5</v>
      </c>
      <c r="F7">
        <v>0</v>
      </c>
      <c r="G7" t="s">
        <v>19</v>
      </c>
      <c r="H7">
        <v>0</v>
      </c>
      <c r="J7">
        <f t="shared" si="0"/>
        <v>0</v>
      </c>
    </row>
    <row r="8" spans="1:38" x14ac:dyDescent="0.3">
      <c r="C8" t="s">
        <v>46</v>
      </c>
      <c r="D8">
        <v>0</v>
      </c>
      <c r="E8" t="s">
        <v>6</v>
      </c>
      <c r="F8">
        <v>0</v>
      </c>
      <c r="G8" t="s">
        <v>20</v>
      </c>
      <c r="H8">
        <v>1</v>
      </c>
      <c r="J8">
        <f t="shared" si="0"/>
        <v>0</v>
      </c>
    </row>
    <row r="9" spans="1:38" x14ac:dyDescent="0.3">
      <c r="C9" t="s">
        <v>47</v>
      </c>
      <c r="D9">
        <v>4</v>
      </c>
      <c r="E9" t="s">
        <v>7</v>
      </c>
      <c r="F9">
        <v>0</v>
      </c>
      <c r="G9" t="s">
        <v>21</v>
      </c>
      <c r="H9">
        <v>1</v>
      </c>
      <c r="J9">
        <f t="shared" si="0"/>
        <v>4</v>
      </c>
    </row>
    <row r="10" spans="1:38" x14ac:dyDescent="0.3">
      <c r="C10" t="s">
        <v>48</v>
      </c>
      <c r="D10">
        <v>2</v>
      </c>
      <c r="E10" t="s">
        <v>8</v>
      </c>
      <c r="F10">
        <v>1</v>
      </c>
      <c r="G10" t="s">
        <v>22</v>
      </c>
      <c r="H10">
        <v>0</v>
      </c>
      <c r="J10">
        <f t="shared" si="0"/>
        <v>2</v>
      </c>
    </row>
    <row r="11" spans="1:38" x14ac:dyDescent="0.3">
      <c r="C11" t="s">
        <v>49</v>
      </c>
      <c r="D11">
        <v>9</v>
      </c>
      <c r="E11" t="s">
        <v>9</v>
      </c>
      <c r="F11">
        <v>0</v>
      </c>
      <c r="G11" t="s">
        <v>23</v>
      </c>
      <c r="H11">
        <v>0</v>
      </c>
      <c r="J11">
        <f t="shared" si="0"/>
        <v>0</v>
      </c>
    </row>
    <row r="12" spans="1:38" x14ac:dyDescent="0.3">
      <c r="C12" t="s">
        <v>50</v>
      </c>
      <c r="D12">
        <v>6</v>
      </c>
      <c r="E12" t="s">
        <v>10</v>
      </c>
      <c r="F12">
        <v>0</v>
      </c>
      <c r="G12" t="s">
        <v>24</v>
      </c>
      <c r="H12">
        <v>1</v>
      </c>
      <c r="J12">
        <f t="shared" si="0"/>
        <v>6</v>
      </c>
    </row>
    <row r="13" spans="1:38" x14ac:dyDescent="0.3">
      <c r="C13" t="s">
        <v>51</v>
      </c>
      <c r="D13">
        <v>10</v>
      </c>
      <c r="E13" t="s">
        <v>11</v>
      </c>
      <c r="F13">
        <v>0</v>
      </c>
      <c r="G13" t="s">
        <v>25</v>
      </c>
      <c r="H13">
        <v>0</v>
      </c>
      <c r="J13">
        <f t="shared" si="0"/>
        <v>0</v>
      </c>
    </row>
    <row r="14" spans="1:38" x14ac:dyDescent="0.3">
      <c r="C14" t="s">
        <v>52</v>
      </c>
      <c r="D14">
        <v>4</v>
      </c>
      <c r="E14" t="s">
        <v>12</v>
      </c>
      <c r="F14">
        <v>0</v>
      </c>
      <c r="G14" t="s">
        <v>26</v>
      </c>
      <c r="H14">
        <v>1</v>
      </c>
      <c r="J14">
        <f t="shared" si="0"/>
        <v>4</v>
      </c>
      <c r="AI14">
        <v>0</v>
      </c>
      <c r="AJ14">
        <v>0</v>
      </c>
      <c r="AK14">
        <v>0</v>
      </c>
      <c r="AL14">
        <v>0</v>
      </c>
    </row>
    <row r="15" spans="1:38" x14ac:dyDescent="0.3">
      <c r="C15" t="s">
        <v>53</v>
      </c>
      <c r="D15">
        <v>1</v>
      </c>
      <c r="E15" t="s">
        <v>13</v>
      </c>
      <c r="F15">
        <v>1</v>
      </c>
      <c r="G15" t="s">
        <v>27</v>
      </c>
      <c r="H15">
        <v>0</v>
      </c>
      <c r="J15">
        <f t="shared" si="0"/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C16" t="s">
        <v>54</v>
      </c>
      <c r="D16">
        <v>5</v>
      </c>
      <c r="E16" t="s">
        <v>14</v>
      </c>
      <c r="F16">
        <v>0</v>
      </c>
      <c r="G16" t="s">
        <v>28</v>
      </c>
      <c r="H16">
        <v>0</v>
      </c>
      <c r="J16">
        <f>(D16*(F16+H16))</f>
        <v>0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2:38" x14ac:dyDescent="0.3"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2:38" x14ac:dyDescent="0.3">
      <c r="Z18">
        <v>0</v>
      </c>
      <c r="AA18">
        <v>1</v>
      </c>
      <c r="AC18">
        <v>0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2:38" x14ac:dyDescent="0.3">
      <c r="C19" t="s">
        <v>29</v>
      </c>
      <c r="G19" s="3" t="s">
        <v>31</v>
      </c>
      <c r="H19" s="3"/>
      <c r="I19" s="3" t="s">
        <v>32</v>
      </c>
      <c r="J19" s="3"/>
      <c r="K19" s="3" t="s">
        <v>33</v>
      </c>
      <c r="L19" s="3"/>
      <c r="M19" s="3" t="s">
        <v>34</v>
      </c>
      <c r="N19" s="3"/>
      <c r="O19" s="3" t="s">
        <v>35</v>
      </c>
      <c r="P19" s="3"/>
      <c r="Q19" s="3" t="s">
        <v>36</v>
      </c>
      <c r="R19" s="3"/>
      <c r="S19" s="3" t="s">
        <v>55</v>
      </c>
      <c r="T19" s="3"/>
      <c r="Z19">
        <v>0</v>
      </c>
      <c r="AA19">
        <v>0</v>
      </c>
      <c r="AB19">
        <v>0</v>
      </c>
      <c r="AC19">
        <v>0</v>
      </c>
    </row>
    <row r="20" spans="2:38" x14ac:dyDescent="0.3">
      <c r="B20">
        <v>1</v>
      </c>
      <c r="C20" s="2">
        <f>F3+H3</f>
        <v>0</v>
      </c>
      <c r="D20" t="s">
        <v>30</v>
      </c>
      <c r="E20">
        <v>1</v>
      </c>
      <c r="G20">
        <v>1</v>
      </c>
      <c r="H20">
        <v>1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Z20">
        <v>0</v>
      </c>
      <c r="AA20">
        <v>0</v>
      </c>
      <c r="AB20">
        <v>0</v>
      </c>
      <c r="AC20">
        <v>0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</row>
    <row r="21" spans="2:38" x14ac:dyDescent="0.3">
      <c r="B21">
        <v>2</v>
      </c>
      <c r="C21" s="2">
        <f t="shared" ref="C21:C33" si="1">F4+H4</f>
        <v>0</v>
      </c>
      <c r="D21" t="s">
        <v>30</v>
      </c>
      <c r="E21">
        <v>1</v>
      </c>
      <c r="G21">
        <v>1</v>
      </c>
      <c r="H21">
        <v>1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Z21">
        <v>0</v>
      </c>
      <c r="AA21">
        <v>0</v>
      </c>
      <c r="AB21">
        <v>0</v>
      </c>
      <c r="AC21">
        <v>0</v>
      </c>
      <c r="AG21">
        <v>0</v>
      </c>
      <c r="AH21">
        <v>1</v>
      </c>
      <c r="AI21">
        <v>0</v>
      </c>
      <c r="AJ21">
        <v>0</v>
      </c>
      <c r="AK21">
        <v>0</v>
      </c>
      <c r="AL21">
        <v>0</v>
      </c>
    </row>
    <row r="22" spans="2:38" x14ac:dyDescent="0.3">
      <c r="B22">
        <v>3</v>
      </c>
      <c r="C22" s="2">
        <f t="shared" si="1"/>
        <v>0</v>
      </c>
      <c r="D22" t="s">
        <v>30</v>
      </c>
      <c r="E22">
        <v>1</v>
      </c>
      <c r="G22">
        <v>1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Z22">
        <v>0</v>
      </c>
      <c r="AA22">
        <v>0</v>
      </c>
      <c r="AB22">
        <v>0</v>
      </c>
      <c r="AC22">
        <v>0</v>
      </c>
      <c r="AG22">
        <v>0</v>
      </c>
      <c r="AH22">
        <v>1</v>
      </c>
      <c r="AI22">
        <v>0</v>
      </c>
      <c r="AJ22">
        <v>0</v>
      </c>
      <c r="AK22">
        <v>0</v>
      </c>
      <c r="AL22">
        <v>0</v>
      </c>
    </row>
    <row r="23" spans="2:38" x14ac:dyDescent="0.3">
      <c r="B23">
        <v>4</v>
      </c>
      <c r="C23" s="2">
        <f t="shared" si="1"/>
        <v>0</v>
      </c>
      <c r="D23" t="s">
        <v>30</v>
      </c>
      <c r="E23">
        <v>1</v>
      </c>
      <c r="G23">
        <v>1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  <c r="T23">
        <v>0</v>
      </c>
      <c r="Z23">
        <v>0</v>
      </c>
      <c r="AA23">
        <v>0</v>
      </c>
      <c r="AB23">
        <v>0</v>
      </c>
      <c r="AC23">
        <v>0</v>
      </c>
      <c r="AG23">
        <v>0</v>
      </c>
      <c r="AH23">
        <v>0</v>
      </c>
      <c r="AI23">
        <v>1</v>
      </c>
      <c r="AJ23">
        <v>0</v>
      </c>
      <c r="AK23">
        <v>0</v>
      </c>
      <c r="AL23">
        <v>0</v>
      </c>
    </row>
    <row r="24" spans="2:38" x14ac:dyDescent="0.3">
      <c r="B24">
        <v>5</v>
      </c>
      <c r="C24" s="2">
        <f t="shared" si="1"/>
        <v>0</v>
      </c>
      <c r="D24" t="s">
        <v>30</v>
      </c>
      <c r="E24">
        <v>1</v>
      </c>
      <c r="G24">
        <v>1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Z24">
        <v>1</v>
      </c>
      <c r="AA24">
        <v>0</v>
      </c>
      <c r="AB24">
        <v>0</v>
      </c>
      <c r="AC24">
        <v>1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</row>
    <row r="25" spans="2:38" x14ac:dyDescent="0.3">
      <c r="B25">
        <v>6</v>
      </c>
      <c r="C25" s="2">
        <f>F8+H8</f>
        <v>1</v>
      </c>
      <c r="D25" t="s">
        <v>30</v>
      </c>
      <c r="E25">
        <v>1</v>
      </c>
      <c r="G25">
        <v>1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Z25">
        <v>1</v>
      </c>
      <c r="AA25">
        <v>0</v>
      </c>
      <c r="AB25">
        <v>0</v>
      </c>
      <c r="AC25">
        <v>1</v>
      </c>
      <c r="AG25">
        <v>0</v>
      </c>
      <c r="AH25">
        <v>0</v>
      </c>
      <c r="AI25">
        <v>0</v>
      </c>
      <c r="AJ25">
        <v>0</v>
      </c>
      <c r="AK25">
        <v>1</v>
      </c>
      <c r="AL25">
        <v>0</v>
      </c>
    </row>
    <row r="26" spans="2:38" x14ac:dyDescent="0.3">
      <c r="B26">
        <v>7</v>
      </c>
      <c r="C26" s="2">
        <f t="shared" si="1"/>
        <v>1</v>
      </c>
      <c r="D26" t="s">
        <v>30</v>
      </c>
      <c r="E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Z26">
        <v>1</v>
      </c>
      <c r="AA26">
        <v>0</v>
      </c>
      <c r="AB26">
        <v>0</v>
      </c>
      <c r="AC26">
        <v>1</v>
      </c>
      <c r="AG26">
        <v>0</v>
      </c>
      <c r="AH26">
        <v>0</v>
      </c>
      <c r="AI26">
        <v>0</v>
      </c>
      <c r="AJ26">
        <v>0</v>
      </c>
      <c r="AK26">
        <v>1</v>
      </c>
      <c r="AL26">
        <v>0</v>
      </c>
    </row>
    <row r="27" spans="2:38" x14ac:dyDescent="0.3">
      <c r="B27">
        <v>8</v>
      </c>
      <c r="C27" s="2">
        <f t="shared" si="1"/>
        <v>1</v>
      </c>
      <c r="D27" t="s">
        <v>30</v>
      </c>
      <c r="E27">
        <v>1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Z27">
        <v>0</v>
      </c>
      <c r="AA27">
        <v>0</v>
      </c>
      <c r="AB27">
        <v>0</v>
      </c>
      <c r="AC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1</v>
      </c>
    </row>
    <row r="28" spans="2:38" x14ac:dyDescent="0.3">
      <c r="B28">
        <v>9</v>
      </c>
      <c r="C28" s="2">
        <f t="shared" si="1"/>
        <v>0</v>
      </c>
      <c r="D28" t="s">
        <v>30</v>
      </c>
      <c r="E28">
        <v>1</v>
      </c>
      <c r="F28" s="2"/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Z28">
        <v>0</v>
      </c>
      <c r="AA28">
        <v>0</v>
      </c>
      <c r="AB28">
        <v>0</v>
      </c>
      <c r="AC28">
        <v>0</v>
      </c>
    </row>
    <row r="29" spans="2:38" x14ac:dyDescent="0.3">
      <c r="B29">
        <v>10</v>
      </c>
      <c r="C29" s="2">
        <f t="shared" si="1"/>
        <v>1</v>
      </c>
      <c r="D29" t="s">
        <v>30</v>
      </c>
      <c r="E29">
        <v>1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Z29">
        <v>0</v>
      </c>
      <c r="AA29">
        <v>0</v>
      </c>
      <c r="AB29">
        <v>0</v>
      </c>
      <c r="AC29">
        <v>0</v>
      </c>
    </row>
    <row r="30" spans="2:38" x14ac:dyDescent="0.3">
      <c r="B30">
        <v>11</v>
      </c>
      <c r="C30" s="2">
        <f t="shared" si="1"/>
        <v>0</v>
      </c>
      <c r="D30" t="s">
        <v>30</v>
      </c>
      <c r="E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  <c r="T30">
        <v>0</v>
      </c>
      <c r="Z30">
        <v>0</v>
      </c>
      <c r="AA30">
        <v>0</v>
      </c>
      <c r="AB30">
        <v>0</v>
      </c>
      <c r="AC30">
        <v>0</v>
      </c>
    </row>
    <row r="31" spans="2:38" x14ac:dyDescent="0.3">
      <c r="B31">
        <v>12</v>
      </c>
      <c r="C31" s="2">
        <f t="shared" si="1"/>
        <v>1</v>
      </c>
      <c r="D31" t="s">
        <v>30</v>
      </c>
      <c r="E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1</v>
      </c>
      <c r="S31">
        <v>0</v>
      </c>
      <c r="T31">
        <v>0</v>
      </c>
      <c r="Z31">
        <v>0</v>
      </c>
      <c r="AA31">
        <v>0</v>
      </c>
      <c r="AB31">
        <v>0</v>
      </c>
      <c r="AC31">
        <v>0</v>
      </c>
    </row>
    <row r="32" spans="2:38" x14ac:dyDescent="0.3">
      <c r="B32">
        <v>13</v>
      </c>
      <c r="C32" s="2">
        <f t="shared" si="1"/>
        <v>1</v>
      </c>
      <c r="D32" t="s">
        <v>30</v>
      </c>
      <c r="E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1</v>
      </c>
    </row>
    <row r="33" spans="2:20" x14ac:dyDescent="0.3">
      <c r="B33">
        <v>14</v>
      </c>
      <c r="C33" s="2">
        <f t="shared" si="1"/>
        <v>0</v>
      </c>
      <c r="D33" t="s">
        <v>30</v>
      </c>
      <c r="E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0</v>
      </c>
      <c r="T33">
        <v>1</v>
      </c>
    </row>
    <row r="34" spans="2:20" x14ac:dyDescent="0.3">
      <c r="C34" s="1"/>
    </row>
    <row r="35" spans="2:20" x14ac:dyDescent="0.3">
      <c r="C35" t="s">
        <v>37</v>
      </c>
      <c r="E35" t="s">
        <v>31</v>
      </c>
      <c r="F35" t="s">
        <v>32</v>
      </c>
      <c r="G35" t="s">
        <v>33</v>
      </c>
      <c r="H35" t="s">
        <v>34</v>
      </c>
      <c r="I35" t="s">
        <v>35</v>
      </c>
      <c r="J35" t="s">
        <v>36</v>
      </c>
      <c r="K35" t="s">
        <v>55</v>
      </c>
    </row>
    <row r="36" spans="2:20" x14ac:dyDescent="0.3">
      <c r="C36" t="s">
        <v>38</v>
      </c>
      <c r="E36">
        <f>SUMPRODUCT(G20:G33,$F$3:$F$16)+SUMPRODUCT(H20:H33,$H$3:$H$16)</f>
        <v>1</v>
      </c>
      <c r="F36">
        <f>SUMPRODUCT(I20:I33,$F$3:$F$16)+SUMPRODUCT(J20:J33,$H$3:$H$16)</f>
        <v>1</v>
      </c>
      <c r="G36">
        <f>SUMPRODUCT(K20:K33,$F$3:$F$16)+SUMPRODUCT(L20:L33,$H$3:$H$16)</f>
        <v>1</v>
      </c>
      <c r="H36">
        <f>SUMPRODUCT(M20:M33,$F$3:$F$16)+SUMPRODUCT(N20:N33,$H$3:$H$16)</f>
        <v>1</v>
      </c>
      <c r="I36">
        <f>SUMPRODUCT(O20:O33,$F$3:$F$16)+SUMPRODUCT(P20:P33,$H$3:$H$16)</f>
        <v>1</v>
      </c>
      <c r="J36">
        <f>SUMPRODUCT(Q20:Q33,$F$3:$F$16)+SUMPRODUCT(R20:R33,$H$3:$H$16)</f>
        <v>1</v>
      </c>
      <c r="K36">
        <f>SUMPRODUCT(S20:S33,$F$3:$F$16)+SUMPRODUCT(T20:T33,$H$3:$H$16)</f>
        <v>1</v>
      </c>
    </row>
    <row r="37" spans="2:20" x14ac:dyDescent="0.3">
      <c r="C37" s="1"/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</row>
    <row r="38" spans="2:20" x14ac:dyDescent="0.3">
      <c r="C38" t="s">
        <v>39</v>
      </c>
      <c r="E38" t="s">
        <v>31</v>
      </c>
      <c r="F38" t="s">
        <v>32</v>
      </c>
      <c r="G38" t="s">
        <v>33</v>
      </c>
      <c r="H38" t="s">
        <v>34</v>
      </c>
      <c r="I38" t="s">
        <v>35</v>
      </c>
      <c r="J38" t="s">
        <v>36</v>
      </c>
    </row>
    <row r="39" spans="2:20" x14ac:dyDescent="0.3">
      <c r="C39" t="s">
        <v>40</v>
      </c>
      <c r="E39">
        <f>SUMPRODUCT(H20:H33,$F$3:$F$16)+SUMPRODUCT(G20:G33,$H$3:$H$16)</f>
        <v>1</v>
      </c>
      <c r="F39">
        <f>SUMPRODUCT(J20:J33,$F$3:$F$16)+SUMPRODUCT(I20:I33,$H$3:$H$16)</f>
        <v>1</v>
      </c>
      <c r="G39">
        <f>SUMPRODUCT(L20:L33,$F$3:$F$16)+SUMPRODUCT(K20:K33,$H$3:$H$16)</f>
        <v>1</v>
      </c>
      <c r="H39">
        <f>SUMPRODUCT(N20:N33,$F$3:$F$16)+SUMPRODUCT(M20:M33,$H$3:$H$16)</f>
        <v>1</v>
      </c>
      <c r="I39">
        <f>SUMPRODUCT(P20:P33,$F$3:$F$16)+SUMPRODUCT(O20:O33,$H$3:$H$16)</f>
        <v>1</v>
      </c>
      <c r="J39">
        <f>SUMPRODUCT(Q20:Q33,$F$3:$F$16)+SUMPRODUCT(R20:R33,$H$3:$H$16)</f>
        <v>1</v>
      </c>
      <c r="K39">
        <f>SUMPRODUCT(T20:T33,$F$3:$F$16)+SUMPRODUCT(S20:S33,$H$3:$H$16)</f>
        <v>1</v>
      </c>
    </row>
    <row r="40" spans="2:20" x14ac:dyDescent="0.3"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</row>
  </sheetData>
  <mergeCells count="7">
    <mergeCell ref="S19:T19"/>
    <mergeCell ref="G19:H19"/>
    <mergeCell ref="K19:L19"/>
    <mergeCell ref="M19:N19"/>
    <mergeCell ref="O19:P19"/>
    <mergeCell ref="Q19:R19"/>
    <mergeCell ref="I19:J1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Adj</vt:lpstr>
      <vt:lpstr>Cost</vt:lpstr>
      <vt:lpstr>Optim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Aadharsh Aadhithya</dc:creator>
  <cp:lastModifiedBy>Aadharsh Aadhithya</cp:lastModifiedBy>
  <dcterms:created xsi:type="dcterms:W3CDTF">2022-04-24T06:04:04Z</dcterms:created>
  <dcterms:modified xsi:type="dcterms:W3CDTF">2022-04-27T17:36:26Z</dcterms:modified>
</cp:coreProperties>
</file>