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F:\ILP-BIO\LpBoxADMM\CliqueExps\ExcelFormulations\"/>
    </mc:Choice>
  </mc:AlternateContent>
  <xr:revisionPtr revIDLastSave="0" documentId="8_{9491F207-67C7-40A0-BE80-8B67599593E2}" xr6:coauthVersionLast="47" xr6:coauthVersionMax="47" xr10:uidLastSave="{00000000-0000-0000-0000-000000000000}"/>
  <bookViews>
    <workbookView xWindow="-20640" yWindow="1635" windowWidth="21600" windowHeight="11775" activeTab="1" xr2:uid="{00000000-000D-0000-FFFF-FFFF00000000}"/>
  </bookViews>
  <sheets>
    <sheet name="Adj" sheetId="1" r:id="rId1"/>
    <sheet name="Optim" sheetId="2" r:id="rId2"/>
  </sheets>
  <definedNames>
    <definedName name="OpenSolver_ChosenSolver" localSheetId="1" hidden="1">CBC</definedName>
    <definedName name="OpenSolver_DualsNewSheet" localSheetId="1" hidden="1">0</definedName>
    <definedName name="OpenSolver_LinearityCheck" localSheetId="1" hidden="1">1</definedName>
    <definedName name="OpenSolver_UpdateSensitivity" localSheetId="1" hidden="1">1</definedName>
    <definedName name="solver_adj" localSheetId="1" hidden="1">Optim!$F$2:$K$2</definedName>
    <definedName name="solver_cvg" localSheetId="1" hidden="1">0.0001</definedName>
    <definedName name="solver_drv" localSheetId="1" hidden="1">1</definedName>
    <definedName name="solver_est" localSheetId="1" hidden="1">1</definedName>
    <definedName name="solver_itr" localSheetId="1" hidden="1">2147483647</definedName>
    <definedName name="solver_lhs1" localSheetId="1" hidden="1">Optim!$M$5:$M$12</definedName>
    <definedName name="solver_lhs2" localSheetId="1" hidden="1">Optim!$F$2:$K$2</definedName>
    <definedName name="solver_neg" localSheetId="1" hidden="1">1</definedName>
    <definedName name="solver_num" localSheetId="1" hidden="1">2</definedName>
    <definedName name="solver_nwt" localSheetId="1" hidden="1">1</definedName>
    <definedName name="solver_opt" localSheetId="1" hidden="1">Optim!$B$5</definedName>
    <definedName name="solver_rel1" localSheetId="1" hidden="1">1</definedName>
    <definedName name="solver_rel2" localSheetId="1" hidden="1">5</definedName>
    <definedName name="solver_rhs1" localSheetId="1" hidden="1">Optim!$O$5:$O$12</definedName>
    <definedName name="solver_rhs2" localSheetId="1" hidden="1">binary</definedName>
    <definedName name="solver_rlx" localSheetId="1" hidden="1">2</definedName>
    <definedName name="solver_scl" localSheetId="1" hidden="1">2</definedName>
    <definedName name="solver_sho" localSheetId="1" hidden="1">0</definedName>
    <definedName name="solver_tim" localSheetId="1" hidden="1">2147483647</definedName>
    <definedName name="solver_tol" localSheetId="1" hidden="1">0.05</definedName>
    <definedName name="solver_typ" localSheetId="1" hidden="1">1</definedName>
    <definedName name="solver_val" localSheetId="1" hidden="1">0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2" l="1"/>
  <c r="M6" i="2"/>
  <c r="M7" i="2"/>
  <c r="M8" i="2"/>
  <c r="M9" i="2"/>
  <c r="M10" i="2"/>
  <c r="M11" i="2"/>
  <c r="M12" i="2"/>
  <c r="M5" i="2"/>
  <c r="B2" i="2"/>
</calcChain>
</file>

<file path=xl/sharedStrings.xml><?xml version="1.0" encoding="utf-8"?>
<sst xmlns="http://schemas.openxmlformats.org/spreadsheetml/2006/main" count="12" uniqueCount="4">
  <si>
    <t>Nodes</t>
  </si>
  <si>
    <t>C</t>
  </si>
  <si>
    <t>&lt;=</t>
  </si>
  <si>
    <t>Sum( C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</si>
</sst>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95250</xdr:colOff>
      <xdr:row>8</xdr:row>
      <xdr:rowOff>114300</xdr:rowOff>
    </xdr:from>
    <xdr:to>
      <xdr:col>12</xdr:col>
      <xdr:colOff>453866</xdr:colOff>
      <xdr:row>24</xdr:row>
      <xdr:rowOff>36589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34157B8-0DC1-4370-8920-1C9EBA4500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62450" y="1562100"/>
          <a:ext cx="3406616" cy="281788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1905</xdr:rowOff>
    </xdr:from>
    <xdr:to>
      <xdr:col>11</xdr:col>
      <xdr:colOff>0</xdr:colOff>
      <xdr:row>2</xdr:row>
      <xdr:rowOff>3810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86C7398D-34DF-4CA7-BCBC-E3F3C45F8B16}"/>
            </a:ext>
          </a:extLst>
        </xdr:cNvPr>
        <xdr:cNvSpPr/>
      </xdr:nvSpPr>
      <xdr:spPr>
        <a:xfrm>
          <a:off x="3352800" y="182880"/>
          <a:ext cx="3657600" cy="182880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IN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0</xdr:colOff>
      <xdr:row>4</xdr:row>
      <xdr:rowOff>7620</xdr:rowOff>
    </xdr:from>
    <xdr:to>
      <xdr:col>2</xdr:col>
      <xdr:colOff>0</xdr:colOff>
      <xdr:row>5</xdr:row>
      <xdr:rowOff>9525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D18C3664-5CD5-4E85-9C5D-150EA223A350}"/>
            </a:ext>
          </a:extLst>
        </xdr:cNvPr>
        <xdr:cNvSpPr/>
      </xdr:nvSpPr>
      <xdr:spPr>
        <a:xfrm>
          <a:off x="914400" y="731520"/>
          <a:ext cx="609600" cy="18288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IN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0</xdr:col>
      <xdr:colOff>897890</xdr:colOff>
      <xdr:row>3</xdr:row>
      <xdr:rowOff>117475</xdr:rowOff>
    </xdr:from>
    <xdr:to>
      <xdr:col>1</xdr:col>
      <xdr:colOff>228915</xdr:colOff>
      <xdr:row>4</xdr:row>
      <xdr:rowOff>63500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9DDE621-5172-48C2-AD51-6B026D222CD5}"/>
            </a:ext>
          </a:extLst>
        </xdr:cNvPr>
        <xdr:cNvSpPr/>
      </xdr:nvSpPr>
      <xdr:spPr>
        <a:xfrm>
          <a:off x="897890" y="660400"/>
          <a:ext cx="245425" cy="1270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IN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12</xdr:col>
      <xdr:colOff>0</xdr:colOff>
      <xdr:row>4</xdr:row>
      <xdr:rowOff>7620</xdr:rowOff>
    </xdr:from>
    <xdr:to>
      <xdr:col>13</xdr:col>
      <xdr:colOff>0</xdr:colOff>
      <xdr:row>12</xdr:row>
      <xdr:rowOff>22860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60E43BD8-18F9-4BBF-82E8-0205711DA915}"/>
            </a:ext>
          </a:extLst>
        </xdr:cNvPr>
        <xdr:cNvSpPr/>
      </xdr:nvSpPr>
      <xdr:spPr>
        <a:xfrm>
          <a:off x="7620000" y="731520"/>
          <a:ext cx="609600" cy="146304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IN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14</xdr:col>
      <xdr:colOff>0</xdr:colOff>
      <xdr:row>4</xdr:row>
      <xdr:rowOff>7620</xdr:rowOff>
    </xdr:from>
    <xdr:to>
      <xdr:col>15</xdr:col>
      <xdr:colOff>0</xdr:colOff>
      <xdr:row>12</xdr:row>
      <xdr:rowOff>22860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416D6E78-3394-45B8-AF4C-F232F1BB29E7}"/>
            </a:ext>
          </a:extLst>
        </xdr:cNvPr>
        <xdr:cNvSpPr/>
      </xdr:nvSpPr>
      <xdr:spPr>
        <a:xfrm>
          <a:off x="8839200" y="731520"/>
          <a:ext cx="609600" cy="146304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IN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13</xdr:col>
      <xdr:colOff>0</xdr:colOff>
      <xdr:row>8</xdr:row>
      <xdr:rowOff>14288</xdr:rowOff>
    </xdr:from>
    <xdr:to>
      <xdr:col>14</xdr:col>
      <xdr:colOff>0</xdr:colOff>
      <xdr:row>8</xdr:row>
      <xdr:rowOff>14288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4D42CB02-15C4-4DB6-A859-5F95C8962075}"/>
            </a:ext>
          </a:extLst>
        </xdr:cNvPr>
        <xdr:cNvCxnSpPr>
          <a:stCxn id="5" idx="3"/>
          <a:endCxn id="6" idx="1"/>
        </xdr:cNvCxnSpPr>
      </xdr:nvCxnSpPr>
      <xdr:spPr>
        <a:xfrm>
          <a:off x="8229600" y="1462088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114300</xdr:colOff>
      <xdr:row>7</xdr:row>
      <xdr:rowOff>72073</xdr:rowOff>
    </xdr:from>
    <xdr:to>
      <xdr:col>13</xdr:col>
      <xdr:colOff>495300</xdr:colOff>
      <xdr:row>8</xdr:row>
      <xdr:rowOff>145098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BEF62B74-8FC3-4071-9747-35CE7F00FBE5}"/>
            </a:ext>
          </a:extLst>
        </xdr:cNvPr>
        <xdr:cNvSpPr/>
      </xdr:nvSpPr>
      <xdr:spPr>
        <a:xfrm>
          <a:off x="8343900" y="1338898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5</xdr:col>
      <xdr:colOff>16510</xdr:colOff>
      <xdr:row>1</xdr:row>
      <xdr:rowOff>19050</xdr:rowOff>
    </xdr:from>
    <xdr:to>
      <xdr:col>5</xdr:col>
      <xdr:colOff>104721</xdr:colOff>
      <xdr:row>1</xdr:row>
      <xdr:rowOff>133350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971C7C5A-B4A3-4563-A9A0-2A09D251E7CA}"/>
            </a:ext>
          </a:extLst>
        </xdr:cNvPr>
        <xdr:cNvSpPr/>
      </xdr:nvSpPr>
      <xdr:spPr>
        <a:xfrm>
          <a:off x="3369310" y="200025"/>
          <a:ext cx="88211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IN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6</xdr:col>
      <xdr:colOff>16510</xdr:colOff>
      <xdr:row>1</xdr:row>
      <xdr:rowOff>19050</xdr:rowOff>
    </xdr:from>
    <xdr:to>
      <xdr:col>6</xdr:col>
      <xdr:colOff>104721</xdr:colOff>
      <xdr:row>1</xdr:row>
      <xdr:rowOff>133350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4852FB6F-D41C-4259-ACAE-5B1F0344D82F}"/>
            </a:ext>
          </a:extLst>
        </xdr:cNvPr>
        <xdr:cNvSpPr/>
      </xdr:nvSpPr>
      <xdr:spPr>
        <a:xfrm>
          <a:off x="3978910" y="200025"/>
          <a:ext cx="88211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IN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7</xdr:col>
      <xdr:colOff>16510</xdr:colOff>
      <xdr:row>1</xdr:row>
      <xdr:rowOff>19050</xdr:rowOff>
    </xdr:from>
    <xdr:to>
      <xdr:col>7</xdr:col>
      <xdr:colOff>104721</xdr:colOff>
      <xdr:row>1</xdr:row>
      <xdr:rowOff>133350</xdr:rowOff>
    </xdr:to>
    <xdr:sp macro="" textlink="">
      <xdr:nvSpPr>
        <xdr:cNvPr id="11" name="OpenSolver10">
          <a:extLst>
            <a:ext uri="{FF2B5EF4-FFF2-40B4-BE49-F238E27FC236}">
              <a16:creationId xmlns:a16="http://schemas.microsoft.com/office/drawing/2014/main" id="{323401EC-E9B0-4FC9-86E7-24F0A7FC40B3}"/>
            </a:ext>
          </a:extLst>
        </xdr:cNvPr>
        <xdr:cNvSpPr/>
      </xdr:nvSpPr>
      <xdr:spPr>
        <a:xfrm>
          <a:off x="4588510" y="200025"/>
          <a:ext cx="88211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IN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8</xdr:col>
      <xdr:colOff>16510</xdr:colOff>
      <xdr:row>1</xdr:row>
      <xdr:rowOff>19050</xdr:rowOff>
    </xdr:from>
    <xdr:to>
      <xdr:col>8</xdr:col>
      <xdr:colOff>104721</xdr:colOff>
      <xdr:row>1</xdr:row>
      <xdr:rowOff>133350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299CB9A0-DD48-47D6-AA50-A66B66B8DB82}"/>
            </a:ext>
          </a:extLst>
        </xdr:cNvPr>
        <xdr:cNvSpPr/>
      </xdr:nvSpPr>
      <xdr:spPr>
        <a:xfrm>
          <a:off x="5198110" y="200025"/>
          <a:ext cx="88211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IN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9</xdr:col>
      <xdr:colOff>16510</xdr:colOff>
      <xdr:row>1</xdr:row>
      <xdr:rowOff>19050</xdr:rowOff>
    </xdr:from>
    <xdr:to>
      <xdr:col>9</xdr:col>
      <xdr:colOff>104721</xdr:colOff>
      <xdr:row>1</xdr:row>
      <xdr:rowOff>133350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DA35BFBA-8DB9-41ED-9FE0-887AB06499C2}"/>
            </a:ext>
          </a:extLst>
        </xdr:cNvPr>
        <xdr:cNvSpPr/>
      </xdr:nvSpPr>
      <xdr:spPr>
        <a:xfrm>
          <a:off x="5807710" y="200025"/>
          <a:ext cx="88211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IN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10</xdr:col>
      <xdr:colOff>16510</xdr:colOff>
      <xdr:row>1</xdr:row>
      <xdr:rowOff>19050</xdr:rowOff>
    </xdr:from>
    <xdr:to>
      <xdr:col>10</xdr:col>
      <xdr:colOff>104721</xdr:colOff>
      <xdr:row>1</xdr:row>
      <xdr:rowOff>133350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6C0A673F-1AAD-4271-A044-A77BD248ADA6}"/>
            </a:ext>
          </a:extLst>
        </xdr:cNvPr>
        <xdr:cNvSpPr/>
      </xdr:nvSpPr>
      <xdr:spPr>
        <a:xfrm>
          <a:off x="6417310" y="200025"/>
          <a:ext cx="88211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IN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7"/>
  <sheetViews>
    <sheetView workbookViewId="0">
      <selection activeCell="P9" sqref="P9"/>
    </sheetView>
  </sheetViews>
  <sheetFormatPr defaultRowHeight="14.4" x14ac:dyDescent="0.3"/>
  <sheetData>
    <row r="1" spans="1:7" x14ac:dyDescent="0.3">
      <c r="B1">
        <v>1</v>
      </c>
      <c r="C1">
        <v>2</v>
      </c>
      <c r="D1">
        <v>3</v>
      </c>
      <c r="E1">
        <v>4</v>
      </c>
      <c r="F1">
        <v>5</v>
      </c>
      <c r="G1">
        <v>6</v>
      </c>
    </row>
    <row r="2" spans="1:7" x14ac:dyDescent="0.3">
      <c r="A2">
        <v>1</v>
      </c>
      <c r="B2">
        <v>1</v>
      </c>
      <c r="C2">
        <v>1</v>
      </c>
      <c r="D2">
        <v>0</v>
      </c>
      <c r="E2">
        <v>0</v>
      </c>
      <c r="F2">
        <v>0</v>
      </c>
      <c r="G2">
        <v>1</v>
      </c>
    </row>
    <row r="3" spans="1:7" x14ac:dyDescent="0.3">
      <c r="A3">
        <v>2</v>
      </c>
      <c r="B3">
        <v>1</v>
      </c>
      <c r="C3">
        <v>1</v>
      </c>
      <c r="D3">
        <v>1</v>
      </c>
      <c r="E3">
        <v>1</v>
      </c>
      <c r="F3">
        <v>0</v>
      </c>
      <c r="G3">
        <v>0</v>
      </c>
    </row>
    <row r="4" spans="1:7" x14ac:dyDescent="0.3">
      <c r="A4">
        <v>3</v>
      </c>
      <c r="B4">
        <v>0</v>
      </c>
      <c r="C4">
        <v>1</v>
      </c>
      <c r="D4">
        <v>1</v>
      </c>
      <c r="E4">
        <v>1</v>
      </c>
      <c r="F4">
        <v>0</v>
      </c>
      <c r="G4">
        <v>0</v>
      </c>
    </row>
    <row r="5" spans="1:7" x14ac:dyDescent="0.3">
      <c r="A5">
        <v>4</v>
      </c>
      <c r="B5">
        <v>0</v>
      </c>
      <c r="C5">
        <v>1</v>
      </c>
      <c r="D5">
        <v>1</v>
      </c>
      <c r="E5">
        <v>1</v>
      </c>
      <c r="F5">
        <v>1</v>
      </c>
      <c r="G5">
        <v>0</v>
      </c>
    </row>
    <row r="6" spans="1:7" x14ac:dyDescent="0.3">
      <c r="A6">
        <v>5</v>
      </c>
      <c r="B6">
        <v>0</v>
      </c>
      <c r="C6">
        <v>0</v>
      </c>
      <c r="D6">
        <v>0</v>
      </c>
      <c r="E6">
        <v>1</v>
      </c>
      <c r="F6">
        <v>1</v>
      </c>
      <c r="G6">
        <v>1</v>
      </c>
    </row>
    <row r="7" spans="1:7" x14ac:dyDescent="0.3">
      <c r="A7">
        <v>6</v>
      </c>
      <c r="B7">
        <v>1</v>
      </c>
      <c r="C7">
        <v>0</v>
      </c>
      <c r="D7">
        <v>0</v>
      </c>
      <c r="E7">
        <v>0</v>
      </c>
      <c r="F7">
        <v>1</v>
      </c>
      <c r="G7">
        <v>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0B8832-5A75-4D0A-B80B-C5BD1C790562}">
  <sheetPr codeName="Sheet2"/>
  <dimension ref="A1:O12"/>
  <sheetViews>
    <sheetView tabSelected="1" workbookViewId="0">
      <selection activeCell="B5" sqref="B5"/>
    </sheetView>
  </sheetViews>
  <sheetFormatPr defaultRowHeight="14.4" x14ac:dyDescent="0.3"/>
  <cols>
    <col min="1" max="1" width="13.33203125" customWidth="1"/>
  </cols>
  <sheetData>
    <row r="1" spans="1:15" x14ac:dyDescent="0.3">
      <c r="E1" t="s">
        <v>0</v>
      </c>
      <c r="F1">
        <v>1</v>
      </c>
      <c r="G1">
        <v>2</v>
      </c>
      <c r="H1">
        <v>3</v>
      </c>
      <c r="I1">
        <v>4</v>
      </c>
      <c r="J1">
        <v>5</v>
      </c>
      <c r="K1">
        <v>6</v>
      </c>
    </row>
    <row r="2" spans="1:15" x14ac:dyDescent="0.3">
      <c r="A2" t="s">
        <v>0</v>
      </c>
      <c r="B2">
        <f>COUNT(Adj!1:1)</f>
        <v>6</v>
      </c>
      <c r="E2" t="s">
        <v>1</v>
      </c>
      <c r="F2">
        <v>0</v>
      </c>
      <c r="G2">
        <v>1</v>
      </c>
      <c r="H2">
        <v>1</v>
      </c>
      <c r="I2">
        <v>1</v>
      </c>
      <c r="J2">
        <v>0</v>
      </c>
      <c r="K2">
        <v>0</v>
      </c>
    </row>
    <row r="5" spans="1:15" x14ac:dyDescent="0.3">
      <c r="A5" t="s">
        <v>3</v>
      </c>
      <c r="B5">
        <f>SUM(F2:K2)</f>
        <v>3</v>
      </c>
      <c r="F5">
        <v>1</v>
      </c>
      <c r="G5">
        <v>0</v>
      </c>
      <c r="H5">
        <v>1</v>
      </c>
      <c r="I5">
        <v>0</v>
      </c>
      <c r="J5">
        <v>0</v>
      </c>
      <c r="K5">
        <v>0</v>
      </c>
      <c r="M5">
        <f>SUMPRODUCT(F5:K5,$F$2:$K$2)</f>
        <v>1</v>
      </c>
      <c r="N5" t="s">
        <v>2</v>
      </c>
      <c r="O5">
        <v>1</v>
      </c>
    </row>
    <row r="6" spans="1:15" x14ac:dyDescent="0.3">
      <c r="F6">
        <v>1</v>
      </c>
      <c r="G6">
        <v>0</v>
      </c>
      <c r="H6">
        <v>0</v>
      </c>
      <c r="I6">
        <v>1</v>
      </c>
      <c r="J6">
        <v>0</v>
      </c>
      <c r="K6">
        <v>0</v>
      </c>
      <c r="M6">
        <f t="shared" ref="M6:M12" si="0">SUMPRODUCT(F6:K6,$F$2:$K$2)</f>
        <v>1</v>
      </c>
      <c r="N6" t="s">
        <v>2</v>
      </c>
      <c r="O6">
        <v>1</v>
      </c>
    </row>
    <row r="7" spans="1:15" x14ac:dyDescent="0.3">
      <c r="F7">
        <v>1</v>
      </c>
      <c r="G7">
        <v>0</v>
      </c>
      <c r="H7">
        <v>0</v>
      </c>
      <c r="I7">
        <v>0</v>
      </c>
      <c r="J7">
        <v>1</v>
      </c>
      <c r="K7">
        <v>0</v>
      </c>
      <c r="M7">
        <f t="shared" si="0"/>
        <v>0</v>
      </c>
      <c r="N7" t="s">
        <v>2</v>
      </c>
      <c r="O7">
        <v>1</v>
      </c>
    </row>
    <row r="8" spans="1:15" x14ac:dyDescent="0.3">
      <c r="F8">
        <v>0</v>
      </c>
      <c r="G8">
        <v>1</v>
      </c>
      <c r="H8">
        <v>0</v>
      </c>
      <c r="I8">
        <v>0</v>
      </c>
      <c r="J8">
        <v>1</v>
      </c>
      <c r="K8">
        <v>0</v>
      </c>
      <c r="M8">
        <f t="shared" si="0"/>
        <v>1</v>
      </c>
      <c r="N8" t="s">
        <v>2</v>
      </c>
      <c r="O8">
        <v>1</v>
      </c>
    </row>
    <row r="9" spans="1:15" x14ac:dyDescent="0.3">
      <c r="F9">
        <v>0</v>
      </c>
      <c r="G9">
        <v>1</v>
      </c>
      <c r="H9">
        <v>0</v>
      </c>
      <c r="I9">
        <v>0</v>
      </c>
      <c r="J9">
        <v>0</v>
      </c>
      <c r="K9">
        <v>1</v>
      </c>
      <c r="M9">
        <f t="shared" si="0"/>
        <v>1</v>
      </c>
      <c r="N9" t="s">
        <v>2</v>
      </c>
      <c r="O9">
        <v>1</v>
      </c>
    </row>
    <row r="10" spans="1:15" x14ac:dyDescent="0.3">
      <c r="F10">
        <v>0</v>
      </c>
      <c r="G10">
        <v>0</v>
      </c>
      <c r="H10">
        <v>1</v>
      </c>
      <c r="I10">
        <v>0</v>
      </c>
      <c r="J10">
        <v>1</v>
      </c>
      <c r="K10">
        <v>0</v>
      </c>
      <c r="M10">
        <f t="shared" si="0"/>
        <v>1</v>
      </c>
      <c r="N10" t="s">
        <v>2</v>
      </c>
      <c r="O10">
        <v>1</v>
      </c>
    </row>
    <row r="11" spans="1:15" x14ac:dyDescent="0.3">
      <c r="F11">
        <v>0</v>
      </c>
      <c r="G11">
        <v>0</v>
      </c>
      <c r="H11">
        <v>1</v>
      </c>
      <c r="I11">
        <v>0</v>
      </c>
      <c r="J11">
        <v>0</v>
      </c>
      <c r="K11">
        <v>1</v>
      </c>
      <c r="M11">
        <f t="shared" si="0"/>
        <v>1</v>
      </c>
      <c r="N11" t="s">
        <v>2</v>
      </c>
      <c r="O11">
        <v>1</v>
      </c>
    </row>
    <row r="12" spans="1:15" x14ac:dyDescent="0.3">
      <c r="F12">
        <v>0</v>
      </c>
      <c r="G12">
        <v>0</v>
      </c>
      <c r="H12">
        <v>0</v>
      </c>
      <c r="I12">
        <v>1</v>
      </c>
      <c r="J12">
        <v>0</v>
      </c>
      <c r="K12">
        <v>1</v>
      </c>
      <c r="M12">
        <f t="shared" si="0"/>
        <v>1</v>
      </c>
      <c r="N12" t="s">
        <v>2</v>
      </c>
      <c r="O12"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Adj</vt:lpstr>
      <vt:lpstr>Optim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Aadharsh Aadhithya</dc:creator>
  <cp:lastModifiedBy>Aadharsh Aadhithya</cp:lastModifiedBy>
  <dcterms:created xsi:type="dcterms:W3CDTF">2015-06-05T18:17:20Z</dcterms:created>
  <dcterms:modified xsi:type="dcterms:W3CDTF">2022-02-23T09:44:29Z</dcterms:modified>
</cp:coreProperties>
</file>