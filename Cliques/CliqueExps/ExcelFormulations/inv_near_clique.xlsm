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ILP-BIO\LpBoxADMM\CliqueExps\ExcelFormulations\"/>
    </mc:Choice>
  </mc:AlternateContent>
  <xr:revisionPtr revIDLastSave="0" documentId="8_{D1A35A2C-B038-4096-BADF-6EC1B9D5F540}" xr6:coauthVersionLast="47" xr6:coauthVersionMax="47" xr10:uidLastSave="{00000000-0000-0000-0000-000000000000}"/>
  <bookViews>
    <workbookView xWindow="-28920" yWindow="-120" windowWidth="29040" windowHeight="16440" activeTab="1" xr2:uid="{7D96A8FE-5548-43CD-85E4-ECFE1E515BAF}"/>
  </bookViews>
  <sheets>
    <sheet name="Adj" sheetId="1" r:id="rId1"/>
    <sheet name="Optim" sheetId="2" r:id="rId2"/>
  </sheets>
  <definedNames>
    <definedName name="OpenSolver_ChosenSolver" localSheetId="1" hidden="1">CBC</definedName>
    <definedName name="OpenSolver_DualsNewSheet" localSheetId="1" hidden="1">0</definedName>
    <definedName name="OpenSolver_LinearityCheck" localSheetId="1" hidden="1">1</definedName>
    <definedName name="OpenSolver_UpdateSensitivity" localSheetId="1" hidden="1">1</definedName>
    <definedName name="solver_adj" localSheetId="1" hidden="1">Optim!$F$2:$K$2,Optim!$M$5:$M$12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2147483647</definedName>
    <definedName name="solver_lhs1" localSheetId="1" hidden="1">Optim!$F$2:$K$2</definedName>
    <definedName name="solver_lhs2" localSheetId="1" hidden="1">Optim!$M$5:$M$12</definedName>
    <definedName name="solver_lhs3" localSheetId="1" hidden="1">Optim!$O$5:$O$12</definedName>
    <definedName name="solver_lhs4" localSheetId="1" hidden="1">Optim!$B$9</definedName>
    <definedName name="solver_lhs5" localSheetId="1" hidden="1">Optim!$B$10</definedName>
    <definedName name="solver_neg" localSheetId="1" hidden="1">1</definedName>
    <definedName name="solver_num" localSheetId="1" hidden="1">5</definedName>
    <definedName name="solver_nwt" localSheetId="1" hidden="1">1</definedName>
    <definedName name="solver_opt" localSheetId="1" hidden="1">Optim!$D$9</definedName>
    <definedName name="solver_rel1" localSheetId="1" hidden="1">5</definedName>
    <definedName name="solver_rel2" localSheetId="1" hidden="1">5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hs1" localSheetId="1" hidden="1">binary</definedName>
    <definedName name="solver_rhs2" localSheetId="1" hidden="1">binary</definedName>
    <definedName name="solver_rhs3" localSheetId="1" hidden="1">Optim!$Q$5:$Q$12</definedName>
    <definedName name="solver_rhs4" localSheetId="1" hidden="1">Optim!$D$9</definedName>
    <definedName name="solver_rhs5" localSheetId="1" hidden="1">Optim!$D$10</definedName>
    <definedName name="solver_rlx" localSheetId="1" hidden="1">2</definedName>
    <definedName name="solver_scl" localSheetId="1" hidden="1">2</definedName>
    <definedName name="solver_sho" localSheetId="1" hidden="1">0</definedName>
    <definedName name="solver_tim" localSheetId="1" hidden="1">2147483647</definedName>
    <definedName name="solver_tol" localSheetId="1" hidden="1">0.05</definedName>
    <definedName name="solver_typ" localSheetId="1" hidden="1">2</definedName>
    <definedName name="solver_val" localSheetId="1" hidden="1">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2" l="1"/>
  <c r="O7" i="2"/>
  <c r="O8" i="2"/>
  <c r="O9" i="2"/>
  <c r="O10" i="2"/>
  <c r="O11" i="2"/>
  <c r="O12" i="2"/>
  <c r="O5" i="2"/>
  <c r="D10" i="2"/>
  <c r="B10" i="2"/>
  <c r="B9" i="2"/>
  <c r="B2" i="2"/>
</calcChain>
</file>

<file path=xl/sharedStrings.xml><?xml version="1.0" encoding="utf-8"?>
<sst xmlns="http://schemas.openxmlformats.org/spreadsheetml/2006/main" count="21" uniqueCount="12">
  <si>
    <t>Nodes</t>
  </si>
  <si>
    <t>C</t>
  </si>
  <si>
    <t>Number of constraints</t>
  </si>
  <si>
    <t>V</t>
  </si>
  <si>
    <t>Ci+Cj-Vij</t>
  </si>
  <si>
    <t>&lt;=</t>
  </si>
  <si>
    <t>W</t>
  </si>
  <si>
    <t>sum(V)</t>
  </si>
  <si>
    <t>sum( C )</t>
  </si>
  <si>
    <t>K</t>
  </si>
  <si>
    <t>D</t>
  </si>
  <si>
    <t>&gt;=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</si>
</sst>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600075</xdr:colOff>
      <xdr:row>4</xdr:row>
      <xdr:rowOff>1905</xdr:rowOff>
    </xdr:from>
    <xdr:to>
      <xdr:col>12</xdr:col>
      <xdr:colOff>600075</xdr:colOff>
      <xdr:row>12</xdr:row>
      <xdr:rowOff>5715</xdr:rowOff>
    </xdr:to>
    <xdr:sp macro="" textlink="">
      <xdr:nvSpPr>
        <xdr:cNvPr id="29" name="OpenSolver2">
          <a:extLst>
            <a:ext uri="{FF2B5EF4-FFF2-40B4-BE49-F238E27FC236}">
              <a16:creationId xmlns:a16="http://schemas.microsoft.com/office/drawing/2014/main" id="{E5BF5701-0F14-46C0-8D91-2A37682B3ECC}"/>
            </a:ext>
          </a:extLst>
        </xdr:cNvPr>
        <xdr:cNvSpPr/>
      </xdr:nvSpPr>
      <xdr:spPr>
        <a:xfrm>
          <a:off x="7305675" y="725805"/>
          <a:ext cx="609600" cy="145161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8</xdr:row>
      <xdr:rowOff>15240</xdr:rowOff>
    </xdr:from>
    <xdr:to>
      <xdr:col>4</xdr:col>
      <xdr:colOff>0</xdr:colOff>
      <xdr:row>9</xdr:row>
      <xdr:rowOff>17145</xdr:rowOff>
    </xdr:to>
    <xdr:sp macro="" textlink="">
      <xdr:nvSpPr>
        <xdr:cNvPr id="30" name="OpenSolver3">
          <a:extLst>
            <a:ext uri="{FF2B5EF4-FFF2-40B4-BE49-F238E27FC236}">
              <a16:creationId xmlns:a16="http://schemas.microsoft.com/office/drawing/2014/main" id="{21737346-8E7B-4365-94DF-BAEAA9C07F18}"/>
            </a:ext>
          </a:extLst>
        </xdr:cNvPr>
        <xdr:cNvSpPr/>
      </xdr:nvSpPr>
      <xdr:spPr>
        <a:xfrm>
          <a:off x="1828800" y="1463040"/>
          <a:ext cx="609600" cy="18288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593090</xdr:colOff>
      <xdr:row>7</xdr:row>
      <xdr:rowOff>133985</xdr:rowOff>
    </xdr:from>
    <xdr:to>
      <xdr:col>3</xdr:col>
      <xdr:colOff>206959</xdr:colOff>
      <xdr:row>8</xdr:row>
      <xdr:rowOff>80010</xdr:rowOff>
    </xdr:to>
    <xdr:sp macro="" textlink="">
      <xdr:nvSpPr>
        <xdr:cNvPr id="31" name="OpenSolver4">
          <a:extLst>
            <a:ext uri="{FF2B5EF4-FFF2-40B4-BE49-F238E27FC236}">
              <a16:creationId xmlns:a16="http://schemas.microsoft.com/office/drawing/2014/main" id="{03A83A4F-6A12-4D65-BAA6-9EC42D74B0F5}"/>
            </a:ext>
          </a:extLst>
        </xdr:cNvPr>
        <xdr:cNvSpPr/>
      </xdr:nvSpPr>
      <xdr:spPr>
        <a:xfrm>
          <a:off x="1812290" y="1400810"/>
          <a:ext cx="22346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14</xdr:col>
      <xdr:colOff>11430</xdr:colOff>
      <xdr:row>4</xdr:row>
      <xdr:rowOff>17145</xdr:rowOff>
    </xdr:from>
    <xdr:to>
      <xdr:col>15</xdr:col>
      <xdr:colOff>11430</xdr:colOff>
      <xdr:row>12</xdr:row>
      <xdr:rowOff>28575</xdr:rowOff>
    </xdr:to>
    <xdr:sp macro="" textlink="">
      <xdr:nvSpPr>
        <xdr:cNvPr id="32" name="OpenSolver5">
          <a:extLst>
            <a:ext uri="{FF2B5EF4-FFF2-40B4-BE49-F238E27FC236}">
              <a16:creationId xmlns:a16="http://schemas.microsoft.com/office/drawing/2014/main" id="{4E8FFDA0-210A-42F0-BC7C-134D5FEC7AFF}"/>
            </a:ext>
          </a:extLst>
        </xdr:cNvPr>
        <xdr:cNvSpPr/>
      </xdr:nvSpPr>
      <xdr:spPr>
        <a:xfrm>
          <a:off x="8545830" y="741045"/>
          <a:ext cx="609600" cy="145923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16</xdr:col>
      <xdr:colOff>0</xdr:colOff>
      <xdr:row>4</xdr:row>
      <xdr:rowOff>7620</xdr:rowOff>
    </xdr:from>
    <xdr:to>
      <xdr:col>17</xdr:col>
      <xdr:colOff>0</xdr:colOff>
      <xdr:row>12</xdr:row>
      <xdr:rowOff>22860</xdr:rowOff>
    </xdr:to>
    <xdr:sp macro="" textlink="">
      <xdr:nvSpPr>
        <xdr:cNvPr id="33" name="OpenSolver6">
          <a:extLst>
            <a:ext uri="{FF2B5EF4-FFF2-40B4-BE49-F238E27FC236}">
              <a16:creationId xmlns:a16="http://schemas.microsoft.com/office/drawing/2014/main" id="{A4669471-67A8-44C6-9EB5-2FB836CB6B44}"/>
            </a:ext>
          </a:extLst>
        </xdr:cNvPr>
        <xdr:cNvSpPr/>
      </xdr:nvSpPr>
      <xdr:spPr>
        <a:xfrm>
          <a:off x="9753600" y="731520"/>
          <a:ext cx="609600" cy="146304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IN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15</xdr:col>
      <xdr:colOff>15240</xdr:colOff>
      <xdr:row>8</xdr:row>
      <xdr:rowOff>14288</xdr:rowOff>
    </xdr:from>
    <xdr:to>
      <xdr:col>16</xdr:col>
      <xdr:colOff>0</xdr:colOff>
      <xdr:row>8</xdr:row>
      <xdr:rowOff>23813</xdr:rowOff>
    </xdr:to>
    <xdr:cxnSp macro="">
      <xdr:nvCxnSpPr>
        <xdr:cNvPr id="34" name="OpenSolver7">
          <a:extLst>
            <a:ext uri="{FF2B5EF4-FFF2-40B4-BE49-F238E27FC236}">
              <a16:creationId xmlns:a16="http://schemas.microsoft.com/office/drawing/2014/main" id="{84459C85-C514-4E50-A101-38496FB78138}"/>
            </a:ext>
          </a:extLst>
        </xdr:cNvPr>
        <xdr:cNvCxnSpPr>
          <a:stCxn id="32" idx="3"/>
          <a:endCxn id="33" idx="1"/>
        </xdr:cNvCxnSpPr>
      </xdr:nvCxnSpPr>
      <xdr:spPr>
        <a:xfrm flipV="1">
          <a:off x="9159240" y="1462088"/>
          <a:ext cx="594360" cy="95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114300</xdr:colOff>
      <xdr:row>7</xdr:row>
      <xdr:rowOff>72073</xdr:rowOff>
    </xdr:from>
    <xdr:to>
      <xdr:col>15</xdr:col>
      <xdr:colOff>495300</xdr:colOff>
      <xdr:row>8</xdr:row>
      <xdr:rowOff>145098</xdr:rowOff>
    </xdr:to>
    <xdr:sp macro="" textlink="">
      <xdr:nvSpPr>
        <xdr:cNvPr id="35" name="OpenSolver8">
          <a:extLst>
            <a:ext uri="{FF2B5EF4-FFF2-40B4-BE49-F238E27FC236}">
              <a16:creationId xmlns:a16="http://schemas.microsoft.com/office/drawing/2014/main" id="{87A2B881-54A1-461C-A03D-CD0F28F60C06}"/>
            </a:ext>
          </a:extLst>
        </xdr:cNvPr>
        <xdr:cNvSpPr/>
      </xdr:nvSpPr>
      <xdr:spPr>
        <a:xfrm>
          <a:off x="9258300" y="1338898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0</xdr:colOff>
      <xdr:row>8</xdr:row>
      <xdr:rowOff>15240</xdr:rowOff>
    </xdr:from>
    <xdr:to>
      <xdr:col>2</xdr:col>
      <xdr:colOff>0</xdr:colOff>
      <xdr:row>9</xdr:row>
      <xdr:rowOff>17145</xdr:rowOff>
    </xdr:to>
    <xdr:sp macro="" textlink="">
      <xdr:nvSpPr>
        <xdr:cNvPr id="36" name="OpenSolver9">
          <a:extLst>
            <a:ext uri="{FF2B5EF4-FFF2-40B4-BE49-F238E27FC236}">
              <a16:creationId xmlns:a16="http://schemas.microsoft.com/office/drawing/2014/main" id="{02E72806-33BA-4E93-9F0B-B38D77F25895}"/>
            </a:ext>
          </a:extLst>
        </xdr:cNvPr>
        <xdr:cNvSpPr/>
      </xdr:nvSpPr>
      <xdr:spPr>
        <a:xfrm>
          <a:off x="609600" y="1463040"/>
          <a:ext cx="609600" cy="1828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12700</xdr:colOff>
      <xdr:row>8</xdr:row>
      <xdr:rowOff>27940</xdr:rowOff>
    </xdr:from>
    <xdr:to>
      <xdr:col>4</xdr:col>
      <xdr:colOff>0</xdr:colOff>
      <xdr:row>9</xdr:row>
      <xdr:rowOff>17145</xdr:rowOff>
    </xdr:to>
    <xdr:sp macro="" textlink="">
      <xdr:nvSpPr>
        <xdr:cNvPr id="37" name="OpenSolver10">
          <a:extLst>
            <a:ext uri="{FF2B5EF4-FFF2-40B4-BE49-F238E27FC236}">
              <a16:creationId xmlns:a16="http://schemas.microsoft.com/office/drawing/2014/main" id="{8066951D-AB27-4169-8CC8-6AF66A373EC3}"/>
            </a:ext>
          </a:extLst>
        </xdr:cNvPr>
        <xdr:cNvSpPr/>
      </xdr:nvSpPr>
      <xdr:spPr>
        <a:xfrm>
          <a:off x="1841500" y="1475740"/>
          <a:ext cx="596900" cy="17018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IN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8</xdr:row>
      <xdr:rowOff>110490</xdr:rowOff>
    </xdr:from>
    <xdr:to>
      <xdr:col>3</xdr:col>
      <xdr:colOff>16510</xdr:colOff>
      <xdr:row>8</xdr:row>
      <xdr:rowOff>113983</xdr:rowOff>
    </xdr:to>
    <xdr:cxnSp macro="">
      <xdr:nvCxnSpPr>
        <xdr:cNvPr id="38" name="OpenSolver11">
          <a:extLst>
            <a:ext uri="{FF2B5EF4-FFF2-40B4-BE49-F238E27FC236}">
              <a16:creationId xmlns:a16="http://schemas.microsoft.com/office/drawing/2014/main" id="{DD894CF5-2F7F-465E-9EFB-6EC8C6F5BAF8}"/>
            </a:ext>
          </a:extLst>
        </xdr:cNvPr>
        <xdr:cNvCxnSpPr>
          <a:stCxn id="36" idx="3"/>
          <a:endCxn id="37" idx="1"/>
        </xdr:cNvCxnSpPr>
      </xdr:nvCxnSpPr>
      <xdr:spPr>
        <a:xfrm>
          <a:off x="1219200" y="1558290"/>
          <a:ext cx="626110" cy="3493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124460</xdr:colOff>
      <xdr:row>7</xdr:row>
      <xdr:rowOff>166211</xdr:rowOff>
    </xdr:from>
    <xdr:to>
      <xdr:col>2</xdr:col>
      <xdr:colOff>505460</xdr:colOff>
      <xdr:row>9</xdr:row>
      <xdr:rowOff>58262</xdr:rowOff>
    </xdr:to>
    <xdr:sp macro="" textlink="">
      <xdr:nvSpPr>
        <xdr:cNvPr id="39" name="OpenSolver12">
          <a:extLst>
            <a:ext uri="{FF2B5EF4-FFF2-40B4-BE49-F238E27FC236}">
              <a16:creationId xmlns:a16="http://schemas.microsoft.com/office/drawing/2014/main" id="{8C160D32-1228-4B2A-B7DC-56E4A445AFED}"/>
            </a:ext>
          </a:extLst>
        </xdr:cNvPr>
        <xdr:cNvSpPr/>
      </xdr:nvSpPr>
      <xdr:spPr>
        <a:xfrm>
          <a:off x="1343660" y="1433036"/>
          <a:ext cx="381000" cy="254001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0</xdr:colOff>
      <xdr:row>9</xdr:row>
      <xdr:rowOff>17145</xdr:rowOff>
    </xdr:from>
    <xdr:to>
      <xdr:col>2</xdr:col>
      <xdr:colOff>0</xdr:colOff>
      <xdr:row>10</xdr:row>
      <xdr:rowOff>19050</xdr:rowOff>
    </xdr:to>
    <xdr:sp macro="" textlink="">
      <xdr:nvSpPr>
        <xdr:cNvPr id="40" name="OpenSolver13">
          <a:extLst>
            <a:ext uri="{FF2B5EF4-FFF2-40B4-BE49-F238E27FC236}">
              <a16:creationId xmlns:a16="http://schemas.microsoft.com/office/drawing/2014/main" id="{9BFFEE6E-C308-465E-97B0-AB24A0C37F8F}"/>
            </a:ext>
          </a:extLst>
        </xdr:cNvPr>
        <xdr:cNvSpPr/>
      </xdr:nvSpPr>
      <xdr:spPr>
        <a:xfrm>
          <a:off x="609600" y="1645920"/>
          <a:ext cx="6096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IN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17145</xdr:rowOff>
    </xdr:from>
    <xdr:to>
      <xdr:col>4</xdr:col>
      <xdr:colOff>0</xdr:colOff>
      <xdr:row>10</xdr:row>
      <xdr:rowOff>19050</xdr:rowOff>
    </xdr:to>
    <xdr:sp macro="" textlink="">
      <xdr:nvSpPr>
        <xdr:cNvPr id="41" name="OpenSolver14">
          <a:extLst>
            <a:ext uri="{FF2B5EF4-FFF2-40B4-BE49-F238E27FC236}">
              <a16:creationId xmlns:a16="http://schemas.microsoft.com/office/drawing/2014/main" id="{70E46E31-3988-4A62-B66E-586C66FB400E}"/>
            </a:ext>
          </a:extLst>
        </xdr:cNvPr>
        <xdr:cNvSpPr/>
      </xdr:nvSpPr>
      <xdr:spPr>
        <a:xfrm>
          <a:off x="1828800" y="1645920"/>
          <a:ext cx="609600" cy="18288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IN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9</xdr:row>
      <xdr:rowOff>108585</xdr:rowOff>
    </xdr:from>
    <xdr:to>
      <xdr:col>3</xdr:col>
      <xdr:colOff>0</xdr:colOff>
      <xdr:row>9</xdr:row>
      <xdr:rowOff>108585</xdr:rowOff>
    </xdr:to>
    <xdr:cxnSp macro="">
      <xdr:nvCxnSpPr>
        <xdr:cNvPr id="42" name="OpenSolver15">
          <a:extLst>
            <a:ext uri="{FF2B5EF4-FFF2-40B4-BE49-F238E27FC236}">
              <a16:creationId xmlns:a16="http://schemas.microsoft.com/office/drawing/2014/main" id="{E4FD1BC9-D42D-47C6-96DE-FB064FA1ACD6}"/>
            </a:ext>
          </a:extLst>
        </xdr:cNvPr>
        <xdr:cNvCxnSpPr>
          <a:stCxn id="40" idx="3"/>
          <a:endCxn id="41" idx="1"/>
        </xdr:cNvCxnSpPr>
      </xdr:nvCxnSpPr>
      <xdr:spPr>
        <a:xfrm>
          <a:off x="1219200" y="173736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8</xdr:row>
      <xdr:rowOff>160655</xdr:rowOff>
    </xdr:from>
    <xdr:to>
      <xdr:col>2</xdr:col>
      <xdr:colOff>495300</xdr:colOff>
      <xdr:row>10</xdr:row>
      <xdr:rowOff>52705</xdr:rowOff>
    </xdr:to>
    <xdr:sp macro="" textlink="">
      <xdr:nvSpPr>
        <xdr:cNvPr id="43" name="OpenSolver16">
          <a:extLst>
            <a:ext uri="{FF2B5EF4-FFF2-40B4-BE49-F238E27FC236}">
              <a16:creationId xmlns:a16="http://schemas.microsoft.com/office/drawing/2014/main" id="{21531AB0-63BA-4438-A17E-FA256B00BFC3}"/>
            </a:ext>
          </a:extLst>
        </xdr:cNvPr>
        <xdr:cNvSpPr/>
      </xdr:nvSpPr>
      <xdr:spPr>
        <a:xfrm>
          <a:off x="1333500" y="160845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16510</xdr:colOff>
      <xdr:row>1</xdr:row>
      <xdr:rowOff>19050</xdr:rowOff>
    </xdr:from>
    <xdr:to>
      <xdr:col>5</xdr:col>
      <xdr:colOff>104721</xdr:colOff>
      <xdr:row>1</xdr:row>
      <xdr:rowOff>133350</xdr:rowOff>
    </xdr:to>
    <xdr:sp macro="" textlink="">
      <xdr:nvSpPr>
        <xdr:cNvPr id="44" name="OpenSolver17">
          <a:extLst>
            <a:ext uri="{FF2B5EF4-FFF2-40B4-BE49-F238E27FC236}">
              <a16:creationId xmlns:a16="http://schemas.microsoft.com/office/drawing/2014/main" id="{AF36CD27-1DF7-41F2-8313-E35849C4B10A}"/>
            </a:ext>
          </a:extLst>
        </xdr:cNvPr>
        <xdr:cNvSpPr/>
      </xdr:nvSpPr>
      <xdr:spPr>
        <a:xfrm>
          <a:off x="3064510" y="200025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endParaRPr lang="en-IN" sz="900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16510</xdr:colOff>
      <xdr:row>4</xdr:row>
      <xdr:rowOff>21590</xdr:rowOff>
    </xdr:from>
    <xdr:to>
      <xdr:col>12</xdr:col>
      <xdr:colOff>104721</xdr:colOff>
      <xdr:row>4</xdr:row>
      <xdr:rowOff>135890</xdr:rowOff>
    </xdr:to>
    <xdr:sp macro="" textlink="">
      <xdr:nvSpPr>
        <xdr:cNvPr id="50" name="OpenSolver23">
          <a:extLst>
            <a:ext uri="{FF2B5EF4-FFF2-40B4-BE49-F238E27FC236}">
              <a16:creationId xmlns:a16="http://schemas.microsoft.com/office/drawing/2014/main" id="{B2A76E35-1DBF-4C89-8EB4-19841EEF609A}"/>
            </a:ext>
          </a:extLst>
        </xdr:cNvPr>
        <xdr:cNvSpPr/>
      </xdr:nvSpPr>
      <xdr:spPr>
        <a:xfrm>
          <a:off x="7331710" y="745490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16510</xdr:colOff>
      <xdr:row>5</xdr:row>
      <xdr:rowOff>18415</xdr:rowOff>
    </xdr:from>
    <xdr:to>
      <xdr:col>12</xdr:col>
      <xdr:colOff>104721</xdr:colOff>
      <xdr:row>5</xdr:row>
      <xdr:rowOff>132715</xdr:rowOff>
    </xdr:to>
    <xdr:sp macro="" textlink="">
      <xdr:nvSpPr>
        <xdr:cNvPr id="51" name="OpenSolver24">
          <a:extLst>
            <a:ext uri="{FF2B5EF4-FFF2-40B4-BE49-F238E27FC236}">
              <a16:creationId xmlns:a16="http://schemas.microsoft.com/office/drawing/2014/main" id="{E8243C4B-AB3F-42E8-AAF7-84A020F66269}"/>
            </a:ext>
          </a:extLst>
        </xdr:cNvPr>
        <xdr:cNvSpPr/>
      </xdr:nvSpPr>
      <xdr:spPr>
        <a:xfrm>
          <a:off x="7331710" y="923290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16510</xdr:colOff>
      <xdr:row>6</xdr:row>
      <xdr:rowOff>15240</xdr:rowOff>
    </xdr:from>
    <xdr:to>
      <xdr:col>12</xdr:col>
      <xdr:colOff>104721</xdr:colOff>
      <xdr:row>6</xdr:row>
      <xdr:rowOff>129540</xdr:rowOff>
    </xdr:to>
    <xdr:sp macro="" textlink="">
      <xdr:nvSpPr>
        <xdr:cNvPr id="52" name="OpenSolver25">
          <a:extLst>
            <a:ext uri="{FF2B5EF4-FFF2-40B4-BE49-F238E27FC236}">
              <a16:creationId xmlns:a16="http://schemas.microsoft.com/office/drawing/2014/main" id="{9E7C6C4C-9196-4856-9D6E-DDE5AEFE46A9}"/>
            </a:ext>
          </a:extLst>
        </xdr:cNvPr>
        <xdr:cNvSpPr/>
      </xdr:nvSpPr>
      <xdr:spPr>
        <a:xfrm>
          <a:off x="7331710" y="1101090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16510</xdr:colOff>
      <xdr:row>7</xdr:row>
      <xdr:rowOff>20955</xdr:rowOff>
    </xdr:from>
    <xdr:to>
      <xdr:col>12</xdr:col>
      <xdr:colOff>104721</xdr:colOff>
      <xdr:row>7</xdr:row>
      <xdr:rowOff>135255</xdr:rowOff>
    </xdr:to>
    <xdr:sp macro="" textlink="">
      <xdr:nvSpPr>
        <xdr:cNvPr id="53" name="OpenSolver26">
          <a:extLst>
            <a:ext uri="{FF2B5EF4-FFF2-40B4-BE49-F238E27FC236}">
              <a16:creationId xmlns:a16="http://schemas.microsoft.com/office/drawing/2014/main" id="{0787D3AD-DB14-423E-9096-B20E988A0721}"/>
            </a:ext>
          </a:extLst>
        </xdr:cNvPr>
        <xdr:cNvSpPr/>
      </xdr:nvSpPr>
      <xdr:spPr>
        <a:xfrm>
          <a:off x="7331710" y="1287780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16510</xdr:colOff>
      <xdr:row>8</xdr:row>
      <xdr:rowOff>21590</xdr:rowOff>
    </xdr:from>
    <xdr:to>
      <xdr:col>12</xdr:col>
      <xdr:colOff>104721</xdr:colOff>
      <xdr:row>8</xdr:row>
      <xdr:rowOff>135890</xdr:rowOff>
    </xdr:to>
    <xdr:sp macro="" textlink="">
      <xdr:nvSpPr>
        <xdr:cNvPr id="54" name="OpenSolver27">
          <a:extLst>
            <a:ext uri="{FF2B5EF4-FFF2-40B4-BE49-F238E27FC236}">
              <a16:creationId xmlns:a16="http://schemas.microsoft.com/office/drawing/2014/main" id="{55586B66-FB49-49C3-96BC-0E7175308689}"/>
            </a:ext>
          </a:extLst>
        </xdr:cNvPr>
        <xdr:cNvSpPr/>
      </xdr:nvSpPr>
      <xdr:spPr>
        <a:xfrm>
          <a:off x="7331710" y="1469390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16510</xdr:colOff>
      <xdr:row>9</xdr:row>
      <xdr:rowOff>34925</xdr:rowOff>
    </xdr:from>
    <xdr:to>
      <xdr:col>12</xdr:col>
      <xdr:colOff>104721</xdr:colOff>
      <xdr:row>9</xdr:row>
      <xdr:rowOff>149225</xdr:rowOff>
    </xdr:to>
    <xdr:sp macro="" textlink="">
      <xdr:nvSpPr>
        <xdr:cNvPr id="55" name="OpenSolver28">
          <a:extLst>
            <a:ext uri="{FF2B5EF4-FFF2-40B4-BE49-F238E27FC236}">
              <a16:creationId xmlns:a16="http://schemas.microsoft.com/office/drawing/2014/main" id="{E8E58690-1C17-40B4-AC65-95BC3827F901}"/>
            </a:ext>
          </a:extLst>
        </xdr:cNvPr>
        <xdr:cNvSpPr/>
      </xdr:nvSpPr>
      <xdr:spPr>
        <a:xfrm>
          <a:off x="7331710" y="1663700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16510</xdr:colOff>
      <xdr:row>10</xdr:row>
      <xdr:rowOff>26035</xdr:rowOff>
    </xdr:from>
    <xdr:to>
      <xdr:col>12</xdr:col>
      <xdr:colOff>104721</xdr:colOff>
      <xdr:row>10</xdr:row>
      <xdr:rowOff>140335</xdr:rowOff>
    </xdr:to>
    <xdr:sp macro="" textlink="">
      <xdr:nvSpPr>
        <xdr:cNvPr id="56" name="OpenSolver29">
          <a:extLst>
            <a:ext uri="{FF2B5EF4-FFF2-40B4-BE49-F238E27FC236}">
              <a16:creationId xmlns:a16="http://schemas.microsoft.com/office/drawing/2014/main" id="{BBE9D493-27E3-4525-84D5-70DCB22E8D1F}"/>
            </a:ext>
          </a:extLst>
        </xdr:cNvPr>
        <xdr:cNvSpPr/>
      </xdr:nvSpPr>
      <xdr:spPr>
        <a:xfrm>
          <a:off x="7331710" y="1835785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16510</xdr:colOff>
      <xdr:row>11</xdr:row>
      <xdr:rowOff>20955</xdr:rowOff>
    </xdr:from>
    <xdr:to>
      <xdr:col>12</xdr:col>
      <xdr:colOff>104721</xdr:colOff>
      <xdr:row>11</xdr:row>
      <xdr:rowOff>135255</xdr:rowOff>
    </xdr:to>
    <xdr:sp macro="" textlink="">
      <xdr:nvSpPr>
        <xdr:cNvPr id="57" name="OpenSolver30">
          <a:extLst>
            <a:ext uri="{FF2B5EF4-FFF2-40B4-BE49-F238E27FC236}">
              <a16:creationId xmlns:a16="http://schemas.microsoft.com/office/drawing/2014/main" id="{9881DBBD-8A53-4DFB-8B18-C5302AB7F03E}"/>
            </a:ext>
          </a:extLst>
        </xdr:cNvPr>
        <xdr:cNvSpPr/>
      </xdr:nvSpPr>
      <xdr:spPr>
        <a:xfrm>
          <a:off x="7331710" y="2011680"/>
          <a:ext cx="88211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IN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 editAs="oneCell">
    <xdr:from>
      <xdr:col>9</xdr:col>
      <xdr:colOff>552450</xdr:colOff>
      <xdr:row>15</xdr:row>
      <xdr:rowOff>104775</xdr:rowOff>
    </xdr:from>
    <xdr:to>
      <xdr:col>15</xdr:col>
      <xdr:colOff>308184</xdr:colOff>
      <xdr:row>31</xdr:row>
      <xdr:rowOff>26318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2CF30A2D-F657-4B43-87F1-2823232B7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819400"/>
          <a:ext cx="3413334" cy="281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8BCC9-0F3E-4253-907A-CC7F1D84228F}">
  <sheetPr codeName="Sheet1"/>
  <dimension ref="A1:G7"/>
  <sheetViews>
    <sheetView workbookViewId="0">
      <selection sqref="A1:G7"/>
    </sheetView>
  </sheetViews>
  <sheetFormatPr defaultRowHeight="14.4" x14ac:dyDescent="0.3"/>
  <sheetData>
    <row r="1" spans="1:7" x14ac:dyDescent="0.3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</row>
    <row r="2" spans="1:7" x14ac:dyDescent="0.3">
      <c r="A2" s="1">
        <v>1</v>
      </c>
      <c r="B2" s="1">
        <v>1</v>
      </c>
      <c r="C2" s="1">
        <v>1</v>
      </c>
      <c r="D2" s="1">
        <v>0</v>
      </c>
      <c r="E2" s="1">
        <v>0</v>
      </c>
      <c r="F2" s="1">
        <v>0</v>
      </c>
      <c r="G2" s="1">
        <v>1</v>
      </c>
    </row>
    <row r="3" spans="1:7" x14ac:dyDescent="0.3">
      <c r="A3" s="1">
        <v>2</v>
      </c>
      <c r="B3" s="1">
        <v>1</v>
      </c>
      <c r="C3" s="1">
        <v>1</v>
      </c>
      <c r="D3" s="1">
        <v>1</v>
      </c>
      <c r="E3" s="1">
        <v>1</v>
      </c>
      <c r="F3" s="1">
        <v>0</v>
      </c>
      <c r="G3" s="1">
        <v>0</v>
      </c>
    </row>
    <row r="4" spans="1:7" x14ac:dyDescent="0.3">
      <c r="A4" s="1">
        <v>3</v>
      </c>
      <c r="B4" s="1">
        <v>0</v>
      </c>
      <c r="C4" s="1">
        <v>1</v>
      </c>
      <c r="D4" s="1">
        <v>1</v>
      </c>
      <c r="E4" s="1">
        <v>1</v>
      </c>
      <c r="F4" s="1">
        <v>0</v>
      </c>
      <c r="G4" s="1">
        <v>0</v>
      </c>
    </row>
    <row r="5" spans="1:7" x14ac:dyDescent="0.3">
      <c r="A5" s="1">
        <v>4</v>
      </c>
      <c r="B5" s="1">
        <v>0</v>
      </c>
      <c r="C5" s="1">
        <v>1</v>
      </c>
      <c r="D5" s="1">
        <v>1</v>
      </c>
      <c r="E5" s="1">
        <v>1</v>
      </c>
      <c r="F5" s="1">
        <v>1</v>
      </c>
      <c r="G5" s="1">
        <v>0</v>
      </c>
    </row>
    <row r="6" spans="1:7" x14ac:dyDescent="0.3">
      <c r="A6" s="1">
        <v>5</v>
      </c>
      <c r="B6" s="1">
        <v>0</v>
      </c>
      <c r="C6" s="1">
        <v>0</v>
      </c>
      <c r="D6" s="1">
        <v>0</v>
      </c>
      <c r="E6" s="1">
        <v>1</v>
      </c>
      <c r="F6" s="1">
        <v>1</v>
      </c>
      <c r="G6" s="1">
        <v>1</v>
      </c>
    </row>
    <row r="7" spans="1:7" x14ac:dyDescent="0.3">
      <c r="A7" s="1">
        <v>6</v>
      </c>
      <c r="B7" s="1">
        <v>1</v>
      </c>
      <c r="C7" s="1">
        <v>0</v>
      </c>
      <c r="D7" s="1">
        <v>0</v>
      </c>
      <c r="E7" s="1">
        <v>0</v>
      </c>
      <c r="F7" s="1">
        <v>1</v>
      </c>
      <c r="G7" s="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16E1C-4404-47DA-9BEB-2A2AD5FB43D6}">
  <sheetPr codeName="Sheet2"/>
  <dimension ref="A1:Q12"/>
  <sheetViews>
    <sheetView tabSelected="1" workbookViewId="0">
      <selection activeCell="R23" sqref="R23"/>
    </sheetView>
  </sheetViews>
  <sheetFormatPr defaultRowHeight="14.4" x14ac:dyDescent="0.3"/>
  <sheetData>
    <row r="1" spans="1:17" x14ac:dyDescent="0.3">
      <c r="E1" t="s">
        <v>0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</row>
    <row r="2" spans="1:17" x14ac:dyDescent="0.3">
      <c r="A2" t="s">
        <v>0</v>
      </c>
      <c r="B2">
        <f>COUNT(Adj!1:1)</f>
        <v>6</v>
      </c>
      <c r="E2" t="s">
        <v>1</v>
      </c>
      <c r="F2">
        <v>1</v>
      </c>
      <c r="G2">
        <v>1</v>
      </c>
      <c r="H2">
        <v>1</v>
      </c>
      <c r="I2">
        <v>1</v>
      </c>
      <c r="J2">
        <v>0</v>
      </c>
      <c r="K2">
        <v>0</v>
      </c>
    </row>
    <row r="3" spans="1:17" x14ac:dyDescent="0.3">
      <c r="A3" t="s">
        <v>9</v>
      </c>
      <c r="B3">
        <v>3</v>
      </c>
    </row>
    <row r="4" spans="1:17" x14ac:dyDescent="0.3">
      <c r="A4" t="s">
        <v>10</v>
      </c>
      <c r="B4">
        <v>1</v>
      </c>
      <c r="M4" s="2" t="s">
        <v>3</v>
      </c>
      <c r="O4" s="2" t="s">
        <v>4</v>
      </c>
      <c r="Q4" s="2"/>
    </row>
    <row r="5" spans="1:17" x14ac:dyDescent="0.3">
      <c r="A5" t="s">
        <v>2</v>
      </c>
      <c r="B5">
        <v>8</v>
      </c>
      <c r="F5">
        <v>1</v>
      </c>
      <c r="G5">
        <v>0</v>
      </c>
      <c r="H5">
        <v>1</v>
      </c>
      <c r="I5">
        <v>0</v>
      </c>
      <c r="J5">
        <v>0</v>
      </c>
      <c r="K5">
        <v>0</v>
      </c>
      <c r="M5">
        <v>1</v>
      </c>
      <c r="O5">
        <f>SUMPRODUCT(F5:K5,$F$2:$K$2)-M5</f>
        <v>1</v>
      </c>
      <c r="P5" t="s">
        <v>5</v>
      </c>
      <c r="Q5">
        <v>1</v>
      </c>
    </row>
    <row r="6" spans="1:17" x14ac:dyDescent="0.3">
      <c r="F6">
        <v>1</v>
      </c>
      <c r="G6">
        <v>0</v>
      </c>
      <c r="H6">
        <v>0</v>
      </c>
      <c r="I6">
        <v>1</v>
      </c>
      <c r="J6">
        <v>0</v>
      </c>
      <c r="K6">
        <v>0</v>
      </c>
      <c r="M6">
        <v>1</v>
      </c>
      <c r="O6">
        <f t="shared" ref="O6:O12" si="0">SUMPRODUCT(F6:K6,$F$2:$K$2)-M6</f>
        <v>1</v>
      </c>
      <c r="P6" t="s">
        <v>5</v>
      </c>
      <c r="Q6">
        <v>1</v>
      </c>
    </row>
    <row r="7" spans="1:17" x14ac:dyDescent="0.3">
      <c r="F7">
        <v>1</v>
      </c>
      <c r="G7">
        <v>0</v>
      </c>
      <c r="H7">
        <v>0</v>
      </c>
      <c r="I7">
        <v>0</v>
      </c>
      <c r="J7">
        <v>1</v>
      </c>
      <c r="K7">
        <v>0</v>
      </c>
      <c r="M7">
        <v>0</v>
      </c>
      <c r="O7">
        <f t="shared" si="0"/>
        <v>1</v>
      </c>
      <c r="P7" t="s">
        <v>5</v>
      </c>
      <c r="Q7">
        <v>1</v>
      </c>
    </row>
    <row r="8" spans="1:17" x14ac:dyDescent="0.3">
      <c r="D8" t="s">
        <v>6</v>
      </c>
      <c r="F8">
        <v>0</v>
      </c>
      <c r="G8">
        <v>1</v>
      </c>
      <c r="H8">
        <v>0</v>
      </c>
      <c r="I8">
        <v>0</v>
      </c>
      <c r="J8">
        <v>1</v>
      </c>
      <c r="K8">
        <v>0</v>
      </c>
      <c r="M8">
        <v>0</v>
      </c>
      <c r="O8">
        <f t="shared" si="0"/>
        <v>1</v>
      </c>
      <c r="P8" t="s">
        <v>5</v>
      </c>
      <c r="Q8">
        <v>1</v>
      </c>
    </row>
    <row r="9" spans="1:17" x14ac:dyDescent="0.3">
      <c r="A9" t="s">
        <v>7</v>
      </c>
      <c r="B9">
        <f>SUM(M5:M12)</f>
        <v>2</v>
      </c>
      <c r="C9" t="s">
        <v>5</v>
      </c>
      <c r="D9">
        <v>2</v>
      </c>
      <c r="F9">
        <v>0</v>
      </c>
      <c r="G9">
        <v>1</v>
      </c>
      <c r="H9">
        <v>0</v>
      </c>
      <c r="I9">
        <v>0</v>
      </c>
      <c r="J9">
        <v>0</v>
      </c>
      <c r="K9">
        <v>1</v>
      </c>
      <c r="M9">
        <v>0</v>
      </c>
      <c r="O9">
        <f t="shared" si="0"/>
        <v>1</v>
      </c>
      <c r="P9" t="s">
        <v>5</v>
      </c>
      <c r="Q9">
        <v>1</v>
      </c>
    </row>
    <row r="10" spans="1:17" x14ac:dyDescent="0.3">
      <c r="A10" t="s">
        <v>8</v>
      </c>
      <c r="B10">
        <f>SUM(F2:K2)</f>
        <v>4</v>
      </c>
      <c r="C10" t="s">
        <v>11</v>
      </c>
      <c r="D10">
        <f>SUM(B3+B4)</f>
        <v>4</v>
      </c>
      <c r="F10">
        <v>0</v>
      </c>
      <c r="G10">
        <v>0</v>
      </c>
      <c r="H10">
        <v>1</v>
      </c>
      <c r="I10">
        <v>0</v>
      </c>
      <c r="J10">
        <v>1</v>
      </c>
      <c r="K10">
        <v>0</v>
      </c>
      <c r="M10">
        <v>0</v>
      </c>
      <c r="O10">
        <f t="shared" si="0"/>
        <v>1</v>
      </c>
      <c r="P10" t="s">
        <v>5</v>
      </c>
      <c r="Q10">
        <v>1</v>
      </c>
    </row>
    <row r="11" spans="1:17" x14ac:dyDescent="0.3">
      <c r="F11">
        <v>0</v>
      </c>
      <c r="G11">
        <v>0</v>
      </c>
      <c r="H11">
        <v>1</v>
      </c>
      <c r="I11">
        <v>0</v>
      </c>
      <c r="J11">
        <v>0</v>
      </c>
      <c r="K11">
        <v>1</v>
      </c>
      <c r="M11">
        <v>0</v>
      </c>
      <c r="O11">
        <f t="shared" si="0"/>
        <v>1</v>
      </c>
      <c r="P11" t="s">
        <v>5</v>
      </c>
      <c r="Q11">
        <v>1</v>
      </c>
    </row>
    <row r="12" spans="1:17" x14ac:dyDescent="0.3">
      <c r="F12">
        <v>0</v>
      </c>
      <c r="G12">
        <v>0</v>
      </c>
      <c r="H12">
        <v>0</v>
      </c>
      <c r="I12">
        <v>1</v>
      </c>
      <c r="J12">
        <v>0</v>
      </c>
      <c r="K12">
        <v>1</v>
      </c>
      <c r="M12">
        <v>0</v>
      </c>
      <c r="O12">
        <f t="shared" si="0"/>
        <v>1</v>
      </c>
      <c r="P12" t="s">
        <v>5</v>
      </c>
      <c r="Q12">
        <v>1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Adj</vt:lpstr>
      <vt:lpstr>Optim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Aadharsh Aadhithya</dc:creator>
  <cp:lastModifiedBy>Aadharsh Aadhithya</cp:lastModifiedBy>
  <dcterms:created xsi:type="dcterms:W3CDTF">2022-02-23T10:38:54Z</dcterms:created>
  <dcterms:modified xsi:type="dcterms:W3CDTF">2022-02-23T11:06:33Z</dcterms:modified>
</cp:coreProperties>
</file>