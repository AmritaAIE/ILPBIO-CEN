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ILP-BIO\LpBoxADMM\CliqueExps\ExcelFormulations\"/>
    </mc:Choice>
  </mc:AlternateContent>
  <xr:revisionPtr revIDLastSave="0" documentId="13_ncr:1_{103ECC0A-A663-43BC-AF3A-88F9BBA294C1}" xr6:coauthVersionLast="47" xr6:coauthVersionMax="47" xr10:uidLastSave="{00000000-0000-0000-0000-000000000000}"/>
  <bookViews>
    <workbookView xWindow="-26010" yWindow="3150" windowWidth="21600" windowHeight="11775" activeTab="1" xr2:uid="{79088D39-939E-4A25-9376-11486522B4A1}"/>
  </bookViews>
  <sheets>
    <sheet name="Adj" sheetId="1" r:id="rId1"/>
    <sheet name="Optim" sheetId="2" r:id="rId2"/>
  </sheets>
  <definedNames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solver_adj" localSheetId="1" hidden="1">Optim!$F$2:$K$2,Optim!$M$5:$M$12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2147483647</definedName>
    <definedName name="solver_lhs1" localSheetId="1" hidden="1">Optim!$F$2:$K$2</definedName>
    <definedName name="solver_lhs2" localSheetId="1" hidden="1">Optim!$M$5:$M$12</definedName>
    <definedName name="solver_lhs3" localSheetId="1" hidden="1">Optim!$O$5:$O$12</definedName>
    <definedName name="solver_lhs4" localSheetId="1" hidden="1">Optim!$B$7</definedName>
    <definedName name="solver_neg" localSheetId="1" hidden="1">1</definedName>
    <definedName name="solver_num" localSheetId="1" hidden="1">4</definedName>
    <definedName name="solver_nwt" localSheetId="1" hidden="1">1</definedName>
    <definedName name="solver_opt" localSheetId="1" hidden="1">Optim!$B$8</definedName>
    <definedName name="solver_rel1" localSheetId="1" hidden="1">5</definedName>
    <definedName name="solver_rel2" localSheetId="1" hidden="1">5</definedName>
    <definedName name="solver_rel3" localSheetId="1" hidden="1">1</definedName>
    <definedName name="solver_rel4" localSheetId="1" hidden="1">2</definedName>
    <definedName name="solver_rhs1" localSheetId="1" hidden="1">binary</definedName>
    <definedName name="solver_rhs2" localSheetId="1" hidden="1">binary</definedName>
    <definedName name="solver_rhs3" localSheetId="1" hidden="1">Optim!$Q$5:$Q$12</definedName>
    <definedName name="solver_rhs4" localSheetId="1" hidden="1">Optim!$D$7</definedName>
    <definedName name="solver_rlx" localSheetId="1" hidden="1">2</definedName>
    <definedName name="solver_scl" localSheetId="1" hidden="1">2</definedName>
    <definedName name="solver_sho" localSheetId="1" hidden="1">0</definedName>
    <definedName name="solver_tim" localSheetId="1" hidden="1">2147483647</definedName>
    <definedName name="solver_tol" localSheetId="1" hidden="1">0.05</definedName>
    <definedName name="solver_typ" localSheetId="1" hidden="1">1</definedName>
    <definedName name="solver_val" localSheetId="1" hidden="1">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8" i="2"/>
  <c r="B7" i="2"/>
  <c r="O7" i="2"/>
  <c r="O8" i="2"/>
  <c r="O9" i="2"/>
  <c r="O10" i="2"/>
  <c r="O11" i="2"/>
  <c r="O12" i="2"/>
  <c r="O6" i="2"/>
  <c r="O5" i="2"/>
</calcChain>
</file>

<file path=xl/sharedStrings.xml><?xml version="1.0" encoding="utf-8"?>
<sst xmlns="http://schemas.openxmlformats.org/spreadsheetml/2006/main" count="17" uniqueCount="9">
  <si>
    <t>Nodes</t>
  </si>
  <si>
    <t>sum(V)</t>
  </si>
  <si>
    <t>Objective</t>
  </si>
  <si>
    <t>C</t>
  </si>
  <si>
    <t>Number of constraints</t>
  </si>
  <si>
    <t>V</t>
  </si>
  <si>
    <t>Ci+Cj-Vij</t>
  </si>
  <si>
    <t>&lt;=</t>
  </si>
  <si>
    <t>"="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</si>
</sst>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1905</xdr:rowOff>
    </xdr:from>
    <xdr:to>
      <xdr:col>11</xdr:col>
      <xdr:colOff>0</xdr:colOff>
      <xdr:row>2</xdr:row>
      <xdr:rowOff>3810</xdr:rowOff>
    </xdr:to>
    <xdr:sp macro="" textlink="">
      <xdr:nvSpPr>
        <xdr:cNvPr id="24" name="OpenSolver1">
          <a:extLst>
            <a:ext uri="{FF2B5EF4-FFF2-40B4-BE49-F238E27FC236}">
              <a16:creationId xmlns:a16="http://schemas.microsoft.com/office/drawing/2014/main" id="{991A9C79-3535-4E1B-920E-EB32B6E22833}"/>
            </a:ext>
          </a:extLst>
        </xdr:cNvPr>
        <xdr:cNvSpPr/>
      </xdr:nvSpPr>
      <xdr:spPr>
        <a:xfrm>
          <a:off x="4152900" y="182880"/>
          <a:ext cx="3657600" cy="18288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12</xdr:col>
      <xdr:colOff>0</xdr:colOff>
      <xdr:row>4</xdr:row>
      <xdr:rowOff>7620</xdr:rowOff>
    </xdr:from>
    <xdr:to>
      <xdr:col>13</xdr:col>
      <xdr:colOff>0</xdr:colOff>
      <xdr:row>12</xdr:row>
      <xdr:rowOff>22860</xdr:rowOff>
    </xdr:to>
    <xdr:sp macro="" textlink="">
      <xdr:nvSpPr>
        <xdr:cNvPr id="25" name="OpenSolver2">
          <a:extLst>
            <a:ext uri="{FF2B5EF4-FFF2-40B4-BE49-F238E27FC236}">
              <a16:creationId xmlns:a16="http://schemas.microsoft.com/office/drawing/2014/main" id="{26023D15-B531-4B46-ADD7-6A5CFA3D0419}"/>
            </a:ext>
          </a:extLst>
        </xdr:cNvPr>
        <xdr:cNvSpPr/>
      </xdr:nvSpPr>
      <xdr:spPr>
        <a:xfrm>
          <a:off x="8420100" y="731520"/>
          <a:ext cx="609600" cy="146304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7</xdr:row>
      <xdr:rowOff>13335</xdr:rowOff>
    </xdr:from>
    <xdr:to>
      <xdr:col>2</xdr:col>
      <xdr:colOff>0</xdr:colOff>
      <xdr:row>8</xdr:row>
      <xdr:rowOff>15240</xdr:rowOff>
    </xdr:to>
    <xdr:sp macro="" textlink="">
      <xdr:nvSpPr>
        <xdr:cNvPr id="26" name="OpenSolver3">
          <a:extLst>
            <a:ext uri="{FF2B5EF4-FFF2-40B4-BE49-F238E27FC236}">
              <a16:creationId xmlns:a16="http://schemas.microsoft.com/office/drawing/2014/main" id="{600C76E3-6E5F-41C0-959D-3E89677F45EF}"/>
            </a:ext>
          </a:extLst>
        </xdr:cNvPr>
        <xdr:cNvSpPr/>
      </xdr:nvSpPr>
      <xdr:spPr>
        <a:xfrm>
          <a:off x="1714500" y="1280160"/>
          <a:ext cx="6096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0</xdr:col>
      <xdr:colOff>1697990</xdr:colOff>
      <xdr:row>6</xdr:row>
      <xdr:rowOff>126365</xdr:rowOff>
    </xdr:from>
    <xdr:to>
      <xdr:col>1</xdr:col>
      <xdr:colOff>228915</xdr:colOff>
      <xdr:row>7</xdr:row>
      <xdr:rowOff>72390</xdr:rowOff>
    </xdr:to>
    <xdr:sp macro="" textlink="">
      <xdr:nvSpPr>
        <xdr:cNvPr id="27" name="OpenSolver4">
          <a:extLst>
            <a:ext uri="{FF2B5EF4-FFF2-40B4-BE49-F238E27FC236}">
              <a16:creationId xmlns:a16="http://schemas.microsoft.com/office/drawing/2014/main" id="{17343495-21BB-406D-9ABC-FDC8115AFDEC}"/>
            </a:ext>
          </a:extLst>
        </xdr:cNvPr>
        <xdr:cNvSpPr/>
      </xdr:nvSpPr>
      <xdr:spPr>
        <a:xfrm>
          <a:off x="1697990" y="1212215"/>
          <a:ext cx="24542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14</xdr:col>
      <xdr:colOff>0</xdr:colOff>
      <xdr:row>4</xdr:row>
      <xdr:rowOff>7620</xdr:rowOff>
    </xdr:from>
    <xdr:to>
      <xdr:col>15</xdr:col>
      <xdr:colOff>0</xdr:colOff>
      <xdr:row>12</xdr:row>
      <xdr:rowOff>22860</xdr:rowOff>
    </xdr:to>
    <xdr:sp macro="" textlink="">
      <xdr:nvSpPr>
        <xdr:cNvPr id="28" name="OpenSolver5">
          <a:extLst>
            <a:ext uri="{FF2B5EF4-FFF2-40B4-BE49-F238E27FC236}">
              <a16:creationId xmlns:a16="http://schemas.microsoft.com/office/drawing/2014/main" id="{08C7B552-575E-44C4-A764-7B02D9749A46}"/>
            </a:ext>
          </a:extLst>
        </xdr:cNvPr>
        <xdr:cNvSpPr/>
      </xdr:nvSpPr>
      <xdr:spPr>
        <a:xfrm>
          <a:off x="9639300" y="731520"/>
          <a:ext cx="609600" cy="146304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16</xdr:col>
      <xdr:colOff>0</xdr:colOff>
      <xdr:row>4</xdr:row>
      <xdr:rowOff>7620</xdr:rowOff>
    </xdr:from>
    <xdr:to>
      <xdr:col>17</xdr:col>
      <xdr:colOff>0</xdr:colOff>
      <xdr:row>12</xdr:row>
      <xdr:rowOff>22860</xdr:rowOff>
    </xdr:to>
    <xdr:sp macro="" textlink="">
      <xdr:nvSpPr>
        <xdr:cNvPr id="29" name="OpenSolver6">
          <a:extLst>
            <a:ext uri="{FF2B5EF4-FFF2-40B4-BE49-F238E27FC236}">
              <a16:creationId xmlns:a16="http://schemas.microsoft.com/office/drawing/2014/main" id="{56D88AF7-99B0-453F-B2B9-792E05400740}"/>
            </a:ext>
          </a:extLst>
        </xdr:cNvPr>
        <xdr:cNvSpPr/>
      </xdr:nvSpPr>
      <xdr:spPr>
        <a:xfrm>
          <a:off x="10858500" y="731520"/>
          <a:ext cx="609600" cy="146304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15</xdr:col>
      <xdr:colOff>0</xdr:colOff>
      <xdr:row>8</xdr:row>
      <xdr:rowOff>14288</xdr:rowOff>
    </xdr:from>
    <xdr:to>
      <xdr:col>16</xdr:col>
      <xdr:colOff>0</xdr:colOff>
      <xdr:row>8</xdr:row>
      <xdr:rowOff>14288</xdr:rowOff>
    </xdr:to>
    <xdr:cxnSp macro="">
      <xdr:nvCxnSpPr>
        <xdr:cNvPr id="30" name="OpenSolver7">
          <a:extLst>
            <a:ext uri="{FF2B5EF4-FFF2-40B4-BE49-F238E27FC236}">
              <a16:creationId xmlns:a16="http://schemas.microsoft.com/office/drawing/2014/main" id="{A71B1742-24C2-4CAF-9FE9-8F083A0766CF}"/>
            </a:ext>
          </a:extLst>
        </xdr:cNvPr>
        <xdr:cNvCxnSpPr>
          <a:stCxn id="28" idx="3"/>
          <a:endCxn id="29" idx="1"/>
        </xdr:cNvCxnSpPr>
      </xdr:nvCxnSpPr>
      <xdr:spPr>
        <a:xfrm>
          <a:off x="1024890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114300</xdr:colOff>
      <xdr:row>7</xdr:row>
      <xdr:rowOff>72073</xdr:rowOff>
    </xdr:from>
    <xdr:to>
      <xdr:col>15</xdr:col>
      <xdr:colOff>495300</xdr:colOff>
      <xdr:row>8</xdr:row>
      <xdr:rowOff>145098</xdr:rowOff>
    </xdr:to>
    <xdr:sp macro="" textlink="">
      <xdr:nvSpPr>
        <xdr:cNvPr id="31" name="OpenSolver8">
          <a:extLst>
            <a:ext uri="{FF2B5EF4-FFF2-40B4-BE49-F238E27FC236}">
              <a16:creationId xmlns:a16="http://schemas.microsoft.com/office/drawing/2014/main" id="{8CD28477-E078-4A2E-B941-ED0FE7A64278}"/>
            </a:ext>
          </a:extLst>
        </xdr:cNvPr>
        <xdr:cNvSpPr/>
      </xdr:nvSpPr>
      <xdr:spPr>
        <a:xfrm>
          <a:off x="10363200" y="133889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0</xdr:colOff>
      <xdr:row>6</xdr:row>
      <xdr:rowOff>11430</xdr:rowOff>
    </xdr:from>
    <xdr:to>
      <xdr:col>2</xdr:col>
      <xdr:colOff>0</xdr:colOff>
      <xdr:row>7</xdr:row>
      <xdr:rowOff>13335</xdr:rowOff>
    </xdr:to>
    <xdr:sp macro="" textlink="">
      <xdr:nvSpPr>
        <xdr:cNvPr id="32" name="OpenSolver9">
          <a:extLst>
            <a:ext uri="{FF2B5EF4-FFF2-40B4-BE49-F238E27FC236}">
              <a16:creationId xmlns:a16="http://schemas.microsoft.com/office/drawing/2014/main" id="{CA49D3CC-3E79-4DFB-AE41-9D6ACC940B8B}"/>
            </a:ext>
          </a:extLst>
        </xdr:cNvPr>
        <xdr:cNvSpPr/>
      </xdr:nvSpPr>
      <xdr:spPr>
        <a:xfrm>
          <a:off x="1714500" y="1097280"/>
          <a:ext cx="6096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11430</xdr:rowOff>
    </xdr:from>
    <xdr:to>
      <xdr:col>4</xdr:col>
      <xdr:colOff>0</xdr:colOff>
      <xdr:row>7</xdr:row>
      <xdr:rowOff>13335</xdr:rowOff>
    </xdr:to>
    <xdr:sp macro="" textlink="">
      <xdr:nvSpPr>
        <xdr:cNvPr id="33" name="OpenSolver10">
          <a:extLst>
            <a:ext uri="{FF2B5EF4-FFF2-40B4-BE49-F238E27FC236}">
              <a16:creationId xmlns:a16="http://schemas.microsoft.com/office/drawing/2014/main" id="{7AB84DFB-8A97-410C-85F1-95A33E6CE378}"/>
            </a:ext>
          </a:extLst>
        </xdr:cNvPr>
        <xdr:cNvSpPr/>
      </xdr:nvSpPr>
      <xdr:spPr>
        <a:xfrm>
          <a:off x="2933700" y="1097280"/>
          <a:ext cx="6096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2</xdr:col>
      <xdr:colOff>0</xdr:colOff>
      <xdr:row>6</xdr:row>
      <xdr:rowOff>106680</xdr:rowOff>
    </xdr:from>
    <xdr:to>
      <xdr:col>3</xdr:col>
      <xdr:colOff>0</xdr:colOff>
      <xdr:row>6</xdr:row>
      <xdr:rowOff>106680</xdr:rowOff>
    </xdr:to>
    <xdr:cxnSp macro="">
      <xdr:nvCxnSpPr>
        <xdr:cNvPr id="34" name="OpenSolver11">
          <a:extLst>
            <a:ext uri="{FF2B5EF4-FFF2-40B4-BE49-F238E27FC236}">
              <a16:creationId xmlns:a16="http://schemas.microsoft.com/office/drawing/2014/main" id="{07D513DC-1068-48DB-B2BE-71674B980810}"/>
            </a:ext>
          </a:extLst>
        </xdr:cNvPr>
        <xdr:cNvCxnSpPr>
          <a:stCxn id="32" idx="3"/>
          <a:endCxn id="33" idx="1"/>
        </xdr:cNvCxnSpPr>
      </xdr:nvCxnSpPr>
      <xdr:spPr>
        <a:xfrm>
          <a:off x="2324100" y="119253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5</xdr:row>
      <xdr:rowOff>158750</xdr:rowOff>
    </xdr:from>
    <xdr:to>
      <xdr:col>2</xdr:col>
      <xdr:colOff>495300</xdr:colOff>
      <xdr:row>7</xdr:row>
      <xdr:rowOff>50800</xdr:rowOff>
    </xdr:to>
    <xdr:sp macro="" textlink="">
      <xdr:nvSpPr>
        <xdr:cNvPr id="35" name="OpenSolver12">
          <a:extLst>
            <a:ext uri="{FF2B5EF4-FFF2-40B4-BE49-F238E27FC236}">
              <a16:creationId xmlns:a16="http://schemas.microsoft.com/office/drawing/2014/main" id="{DB250C87-E097-433A-AE67-4A19A8475B6F}"/>
            </a:ext>
          </a:extLst>
        </xdr:cNvPr>
        <xdr:cNvSpPr/>
      </xdr:nvSpPr>
      <xdr:spPr>
        <a:xfrm>
          <a:off x="2438400" y="1063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16510</xdr:colOff>
      <xdr:row>1</xdr:row>
      <xdr:rowOff>19050</xdr:rowOff>
    </xdr:from>
    <xdr:to>
      <xdr:col>5</xdr:col>
      <xdr:colOff>104721</xdr:colOff>
      <xdr:row>1</xdr:row>
      <xdr:rowOff>133350</xdr:rowOff>
    </xdr:to>
    <xdr:sp macro="" textlink="">
      <xdr:nvSpPr>
        <xdr:cNvPr id="36" name="OpenSolver13">
          <a:extLst>
            <a:ext uri="{FF2B5EF4-FFF2-40B4-BE49-F238E27FC236}">
              <a16:creationId xmlns:a16="http://schemas.microsoft.com/office/drawing/2014/main" id="{8C7005B1-87CB-4E6E-8929-426A266F20EF}"/>
            </a:ext>
          </a:extLst>
        </xdr:cNvPr>
        <xdr:cNvSpPr/>
      </xdr:nvSpPr>
      <xdr:spPr>
        <a:xfrm>
          <a:off x="41694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6</xdr:col>
      <xdr:colOff>16510</xdr:colOff>
      <xdr:row>1</xdr:row>
      <xdr:rowOff>19050</xdr:rowOff>
    </xdr:from>
    <xdr:to>
      <xdr:col>6</xdr:col>
      <xdr:colOff>104721</xdr:colOff>
      <xdr:row>1</xdr:row>
      <xdr:rowOff>133350</xdr:rowOff>
    </xdr:to>
    <xdr:sp macro="" textlink="">
      <xdr:nvSpPr>
        <xdr:cNvPr id="37" name="OpenSolver14">
          <a:extLst>
            <a:ext uri="{FF2B5EF4-FFF2-40B4-BE49-F238E27FC236}">
              <a16:creationId xmlns:a16="http://schemas.microsoft.com/office/drawing/2014/main" id="{3F8E7560-EABD-4D88-88D3-F3172A7F128C}"/>
            </a:ext>
          </a:extLst>
        </xdr:cNvPr>
        <xdr:cNvSpPr/>
      </xdr:nvSpPr>
      <xdr:spPr>
        <a:xfrm>
          <a:off x="47790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16510</xdr:colOff>
      <xdr:row>1</xdr:row>
      <xdr:rowOff>19050</xdr:rowOff>
    </xdr:from>
    <xdr:to>
      <xdr:col>7</xdr:col>
      <xdr:colOff>104721</xdr:colOff>
      <xdr:row>1</xdr:row>
      <xdr:rowOff>133350</xdr:rowOff>
    </xdr:to>
    <xdr:sp macro="" textlink="">
      <xdr:nvSpPr>
        <xdr:cNvPr id="38" name="OpenSolver15">
          <a:extLst>
            <a:ext uri="{FF2B5EF4-FFF2-40B4-BE49-F238E27FC236}">
              <a16:creationId xmlns:a16="http://schemas.microsoft.com/office/drawing/2014/main" id="{97E64DF1-4C33-42B0-8301-7EF7B9D2EA5C}"/>
            </a:ext>
          </a:extLst>
        </xdr:cNvPr>
        <xdr:cNvSpPr/>
      </xdr:nvSpPr>
      <xdr:spPr>
        <a:xfrm>
          <a:off x="53886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8</xdr:col>
      <xdr:colOff>16510</xdr:colOff>
      <xdr:row>1</xdr:row>
      <xdr:rowOff>19050</xdr:rowOff>
    </xdr:from>
    <xdr:to>
      <xdr:col>8</xdr:col>
      <xdr:colOff>104721</xdr:colOff>
      <xdr:row>1</xdr:row>
      <xdr:rowOff>133350</xdr:rowOff>
    </xdr:to>
    <xdr:sp macro="" textlink="">
      <xdr:nvSpPr>
        <xdr:cNvPr id="39" name="OpenSolver16">
          <a:extLst>
            <a:ext uri="{FF2B5EF4-FFF2-40B4-BE49-F238E27FC236}">
              <a16:creationId xmlns:a16="http://schemas.microsoft.com/office/drawing/2014/main" id="{78FD8FB0-7C85-4712-9C0C-17F63F3E549D}"/>
            </a:ext>
          </a:extLst>
        </xdr:cNvPr>
        <xdr:cNvSpPr/>
      </xdr:nvSpPr>
      <xdr:spPr>
        <a:xfrm>
          <a:off x="59982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9</xdr:col>
      <xdr:colOff>16510</xdr:colOff>
      <xdr:row>1</xdr:row>
      <xdr:rowOff>19050</xdr:rowOff>
    </xdr:from>
    <xdr:to>
      <xdr:col>9</xdr:col>
      <xdr:colOff>104721</xdr:colOff>
      <xdr:row>1</xdr:row>
      <xdr:rowOff>133350</xdr:rowOff>
    </xdr:to>
    <xdr:sp macro="" textlink="">
      <xdr:nvSpPr>
        <xdr:cNvPr id="40" name="OpenSolver17">
          <a:extLst>
            <a:ext uri="{FF2B5EF4-FFF2-40B4-BE49-F238E27FC236}">
              <a16:creationId xmlns:a16="http://schemas.microsoft.com/office/drawing/2014/main" id="{2BF87071-F1D2-4E69-9204-5C340A4DE394}"/>
            </a:ext>
          </a:extLst>
        </xdr:cNvPr>
        <xdr:cNvSpPr/>
      </xdr:nvSpPr>
      <xdr:spPr>
        <a:xfrm>
          <a:off x="66078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10</xdr:col>
      <xdr:colOff>16510</xdr:colOff>
      <xdr:row>1</xdr:row>
      <xdr:rowOff>19050</xdr:rowOff>
    </xdr:from>
    <xdr:to>
      <xdr:col>10</xdr:col>
      <xdr:colOff>104721</xdr:colOff>
      <xdr:row>1</xdr:row>
      <xdr:rowOff>133350</xdr:rowOff>
    </xdr:to>
    <xdr:sp macro="" textlink="">
      <xdr:nvSpPr>
        <xdr:cNvPr id="41" name="OpenSolver18">
          <a:extLst>
            <a:ext uri="{FF2B5EF4-FFF2-40B4-BE49-F238E27FC236}">
              <a16:creationId xmlns:a16="http://schemas.microsoft.com/office/drawing/2014/main" id="{5E6B0B07-772A-4745-A364-98A838A401D2}"/>
            </a:ext>
          </a:extLst>
        </xdr:cNvPr>
        <xdr:cNvSpPr/>
      </xdr:nvSpPr>
      <xdr:spPr>
        <a:xfrm>
          <a:off x="72174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4</xdr:row>
      <xdr:rowOff>21590</xdr:rowOff>
    </xdr:from>
    <xdr:to>
      <xdr:col>12</xdr:col>
      <xdr:colOff>104721</xdr:colOff>
      <xdr:row>4</xdr:row>
      <xdr:rowOff>135890</xdr:rowOff>
    </xdr:to>
    <xdr:sp macro="" textlink="">
      <xdr:nvSpPr>
        <xdr:cNvPr id="42" name="OpenSolver19">
          <a:extLst>
            <a:ext uri="{FF2B5EF4-FFF2-40B4-BE49-F238E27FC236}">
              <a16:creationId xmlns:a16="http://schemas.microsoft.com/office/drawing/2014/main" id="{D4DEDDE2-C138-4056-8C73-38D6852FFE99}"/>
            </a:ext>
          </a:extLst>
        </xdr:cNvPr>
        <xdr:cNvSpPr/>
      </xdr:nvSpPr>
      <xdr:spPr>
        <a:xfrm>
          <a:off x="8436610" y="74549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5</xdr:row>
      <xdr:rowOff>18415</xdr:rowOff>
    </xdr:from>
    <xdr:to>
      <xdr:col>12</xdr:col>
      <xdr:colOff>104721</xdr:colOff>
      <xdr:row>5</xdr:row>
      <xdr:rowOff>132715</xdr:rowOff>
    </xdr:to>
    <xdr:sp macro="" textlink="">
      <xdr:nvSpPr>
        <xdr:cNvPr id="43" name="OpenSolver20">
          <a:extLst>
            <a:ext uri="{FF2B5EF4-FFF2-40B4-BE49-F238E27FC236}">
              <a16:creationId xmlns:a16="http://schemas.microsoft.com/office/drawing/2014/main" id="{208F1865-3179-4281-A25B-4439FA08686D}"/>
            </a:ext>
          </a:extLst>
        </xdr:cNvPr>
        <xdr:cNvSpPr/>
      </xdr:nvSpPr>
      <xdr:spPr>
        <a:xfrm>
          <a:off x="8436610" y="92329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6</xdr:row>
      <xdr:rowOff>15240</xdr:rowOff>
    </xdr:from>
    <xdr:to>
      <xdr:col>12</xdr:col>
      <xdr:colOff>104721</xdr:colOff>
      <xdr:row>6</xdr:row>
      <xdr:rowOff>129540</xdr:rowOff>
    </xdr:to>
    <xdr:sp macro="" textlink="">
      <xdr:nvSpPr>
        <xdr:cNvPr id="44" name="OpenSolver21">
          <a:extLst>
            <a:ext uri="{FF2B5EF4-FFF2-40B4-BE49-F238E27FC236}">
              <a16:creationId xmlns:a16="http://schemas.microsoft.com/office/drawing/2014/main" id="{79DFE02A-D5D2-464E-A70E-9100D340353A}"/>
            </a:ext>
          </a:extLst>
        </xdr:cNvPr>
        <xdr:cNvSpPr/>
      </xdr:nvSpPr>
      <xdr:spPr>
        <a:xfrm>
          <a:off x="8436610" y="110109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7</xdr:row>
      <xdr:rowOff>20955</xdr:rowOff>
    </xdr:from>
    <xdr:to>
      <xdr:col>12</xdr:col>
      <xdr:colOff>104721</xdr:colOff>
      <xdr:row>7</xdr:row>
      <xdr:rowOff>135255</xdr:rowOff>
    </xdr:to>
    <xdr:sp macro="" textlink="">
      <xdr:nvSpPr>
        <xdr:cNvPr id="45" name="OpenSolver22">
          <a:extLst>
            <a:ext uri="{FF2B5EF4-FFF2-40B4-BE49-F238E27FC236}">
              <a16:creationId xmlns:a16="http://schemas.microsoft.com/office/drawing/2014/main" id="{927A722A-6DC6-4301-9738-BE232B52FD22}"/>
            </a:ext>
          </a:extLst>
        </xdr:cNvPr>
        <xdr:cNvSpPr/>
      </xdr:nvSpPr>
      <xdr:spPr>
        <a:xfrm>
          <a:off x="8436610" y="128778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8</xdr:row>
      <xdr:rowOff>21590</xdr:rowOff>
    </xdr:from>
    <xdr:to>
      <xdr:col>12</xdr:col>
      <xdr:colOff>104721</xdr:colOff>
      <xdr:row>8</xdr:row>
      <xdr:rowOff>135890</xdr:rowOff>
    </xdr:to>
    <xdr:sp macro="" textlink="">
      <xdr:nvSpPr>
        <xdr:cNvPr id="46" name="OpenSolver23">
          <a:extLst>
            <a:ext uri="{FF2B5EF4-FFF2-40B4-BE49-F238E27FC236}">
              <a16:creationId xmlns:a16="http://schemas.microsoft.com/office/drawing/2014/main" id="{A26CA2CF-9D7F-4A02-9747-EB669EEFA4D0}"/>
            </a:ext>
          </a:extLst>
        </xdr:cNvPr>
        <xdr:cNvSpPr/>
      </xdr:nvSpPr>
      <xdr:spPr>
        <a:xfrm>
          <a:off x="8436610" y="146939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9</xdr:row>
      <xdr:rowOff>34925</xdr:rowOff>
    </xdr:from>
    <xdr:to>
      <xdr:col>12</xdr:col>
      <xdr:colOff>104721</xdr:colOff>
      <xdr:row>9</xdr:row>
      <xdr:rowOff>149225</xdr:rowOff>
    </xdr:to>
    <xdr:sp macro="" textlink="">
      <xdr:nvSpPr>
        <xdr:cNvPr id="47" name="OpenSolver24">
          <a:extLst>
            <a:ext uri="{FF2B5EF4-FFF2-40B4-BE49-F238E27FC236}">
              <a16:creationId xmlns:a16="http://schemas.microsoft.com/office/drawing/2014/main" id="{0CBEE9B9-2994-4A3C-862C-E693783E4699}"/>
            </a:ext>
          </a:extLst>
        </xdr:cNvPr>
        <xdr:cNvSpPr/>
      </xdr:nvSpPr>
      <xdr:spPr>
        <a:xfrm>
          <a:off x="8436610" y="166370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10</xdr:row>
      <xdr:rowOff>26035</xdr:rowOff>
    </xdr:from>
    <xdr:to>
      <xdr:col>12</xdr:col>
      <xdr:colOff>104721</xdr:colOff>
      <xdr:row>10</xdr:row>
      <xdr:rowOff>140335</xdr:rowOff>
    </xdr:to>
    <xdr:sp macro="" textlink="">
      <xdr:nvSpPr>
        <xdr:cNvPr id="48" name="OpenSolver25">
          <a:extLst>
            <a:ext uri="{FF2B5EF4-FFF2-40B4-BE49-F238E27FC236}">
              <a16:creationId xmlns:a16="http://schemas.microsoft.com/office/drawing/2014/main" id="{07FB9811-236A-4177-B50C-17DB33A79D25}"/>
            </a:ext>
          </a:extLst>
        </xdr:cNvPr>
        <xdr:cNvSpPr/>
      </xdr:nvSpPr>
      <xdr:spPr>
        <a:xfrm>
          <a:off x="8436610" y="183578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11</xdr:row>
      <xdr:rowOff>20955</xdr:rowOff>
    </xdr:from>
    <xdr:to>
      <xdr:col>12</xdr:col>
      <xdr:colOff>104721</xdr:colOff>
      <xdr:row>11</xdr:row>
      <xdr:rowOff>135255</xdr:rowOff>
    </xdr:to>
    <xdr:sp macro="" textlink="">
      <xdr:nvSpPr>
        <xdr:cNvPr id="49" name="OpenSolver26">
          <a:extLst>
            <a:ext uri="{FF2B5EF4-FFF2-40B4-BE49-F238E27FC236}">
              <a16:creationId xmlns:a16="http://schemas.microsoft.com/office/drawing/2014/main" id="{E14C8375-C037-4F63-B284-1B5BD173EF74}"/>
            </a:ext>
          </a:extLst>
        </xdr:cNvPr>
        <xdr:cNvSpPr/>
      </xdr:nvSpPr>
      <xdr:spPr>
        <a:xfrm>
          <a:off x="8436610" y="201168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 editAs="oneCell">
    <xdr:from>
      <xdr:col>7</xdr:col>
      <xdr:colOff>0</xdr:colOff>
      <xdr:row>15</xdr:row>
      <xdr:rowOff>26543</xdr:rowOff>
    </xdr:from>
    <xdr:to>
      <xdr:col>12</xdr:col>
      <xdr:colOff>548640</xdr:colOff>
      <xdr:row>31</xdr:row>
      <xdr:rowOff>98709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8CBD7281-BDDB-41EB-A583-AEFBCC612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72100" y="2741168"/>
          <a:ext cx="3600450" cy="29715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E644F-06CB-4053-B5C0-99C422259690}">
  <sheetPr codeName="Sheet1"/>
  <dimension ref="A1:G7"/>
  <sheetViews>
    <sheetView workbookViewId="0">
      <selection sqref="A1:G7"/>
    </sheetView>
  </sheetViews>
  <sheetFormatPr defaultRowHeight="14.4" x14ac:dyDescent="0.3"/>
  <sheetData>
    <row r="1" spans="1:7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x14ac:dyDescent="0.3">
      <c r="A2">
        <v>1</v>
      </c>
      <c r="B2">
        <v>1</v>
      </c>
      <c r="C2">
        <v>1</v>
      </c>
      <c r="D2">
        <v>0</v>
      </c>
      <c r="E2">
        <v>0</v>
      </c>
      <c r="F2">
        <v>0</v>
      </c>
      <c r="G2">
        <v>1</v>
      </c>
    </row>
    <row r="3" spans="1:7" x14ac:dyDescent="0.3">
      <c r="A3">
        <v>2</v>
      </c>
      <c r="B3">
        <v>1</v>
      </c>
      <c r="C3">
        <v>1</v>
      </c>
      <c r="D3">
        <v>1</v>
      </c>
      <c r="E3">
        <v>1</v>
      </c>
      <c r="F3">
        <v>0</v>
      </c>
      <c r="G3">
        <v>0</v>
      </c>
    </row>
    <row r="4" spans="1:7" x14ac:dyDescent="0.3">
      <c r="A4">
        <v>3</v>
      </c>
      <c r="B4">
        <v>0</v>
      </c>
      <c r="C4">
        <v>1</v>
      </c>
      <c r="D4">
        <v>1</v>
      </c>
      <c r="E4">
        <v>1</v>
      </c>
      <c r="F4">
        <v>0</v>
      </c>
      <c r="G4">
        <v>0</v>
      </c>
    </row>
    <row r="5" spans="1:7" x14ac:dyDescent="0.3">
      <c r="A5">
        <v>4</v>
      </c>
      <c r="B5">
        <v>0</v>
      </c>
      <c r="C5">
        <v>1</v>
      </c>
      <c r="D5">
        <v>1</v>
      </c>
      <c r="E5">
        <v>1</v>
      </c>
      <c r="F5">
        <v>1</v>
      </c>
      <c r="G5">
        <v>0</v>
      </c>
    </row>
    <row r="6" spans="1:7" x14ac:dyDescent="0.3">
      <c r="A6">
        <v>5</v>
      </c>
      <c r="B6">
        <v>0</v>
      </c>
      <c r="C6">
        <v>0</v>
      </c>
      <c r="D6">
        <v>0</v>
      </c>
      <c r="E6">
        <v>1</v>
      </c>
      <c r="F6">
        <v>1</v>
      </c>
      <c r="G6">
        <v>1</v>
      </c>
    </row>
    <row r="7" spans="1:7" x14ac:dyDescent="0.3">
      <c r="A7">
        <v>6</v>
      </c>
      <c r="B7">
        <v>1</v>
      </c>
      <c r="C7">
        <v>0</v>
      </c>
      <c r="D7">
        <v>0</v>
      </c>
      <c r="E7">
        <v>0</v>
      </c>
      <c r="F7">
        <v>1</v>
      </c>
      <c r="G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FEB3F-F2C3-4CCD-9032-70A484B191F7}">
  <sheetPr codeName="Sheet2"/>
  <dimension ref="A1:Q12"/>
  <sheetViews>
    <sheetView tabSelected="1" workbookViewId="0">
      <selection activeCell="E1" sqref="E1"/>
    </sheetView>
  </sheetViews>
  <sheetFormatPr defaultRowHeight="14.4" x14ac:dyDescent="0.3"/>
  <cols>
    <col min="1" max="1" width="25" customWidth="1"/>
  </cols>
  <sheetData>
    <row r="1" spans="1:17" x14ac:dyDescent="0.3">
      <c r="E1" t="s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</row>
    <row r="2" spans="1:17" x14ac:dyDescent="0.3">
      <c r="A2" t="s">
        <v>0</v>
      </c>
      <c r="B2">
        <f>COUNT(Adj!1:1)</f>
        <v>6</v>
      </c>
      <c r="E2" t="s">
        <v>3</v>
      </c>
      <c r="F2">
        <v>0</v>
      </c>
      <c r="G2">
        <v>1</v>
      </c>
      <c r="H2">
        <v>1</v>
      </c>
      <c r="I2">
        <v>1</v>
      </c>
      <c r="J2">
        <v>1</v>
      </c>
      <c r="K2">
        <v>0</v>
      </c>
    </row>
    <row r="4" spans="1:17" x14ac:dyDescent="0.3">
      <c r="M4" s="1" t="s">
        <v>5</v>
      </c>
      <c r="O4" s="1" t="s">
        <v>6</v>
      </c>
    </row>
    <row r="5" spans="1:17" x14ac:dyDescent="0.3">
      <c r="A5" t="s">
        <v>4</v>
      </c>
      <c r="B5">
        <v>8</v>
      </c>
      <c r="F5">
        <v>1</v>
      </c>
      <c r="G5">
        <v>0</v>
      </c>
      <c r="H5">
        <v>1</v>
      </c>
      <c r="I5">
        <v>0</v>
      </c>
      <c r="J5">
        <v>0</v>
      </c>
      <c r="K5">
        <v>0</v>
      </c>
      <c r="M5" s="1">
        <v>0</v>
      </c>
      <c r="O5" s="1">
        <f>SUMPRODUCT(F5:K5,$F$2:$K$2)-M5</f>
        <v>1</v>
      </c>
      <c r="P5" t="s">
        <v>7</v>
      </c>
      <c r="Q5">
        <v>1</v>
      </c>
    </row>
    <row r="6" spans="1:17" x14ac:dyDescent="0.3">
      <c r="F6">
        <v>1</v>
      </c>
      <c r="G6">
        <v>0</v>
      </c>
      <c r="H6">
        <v>0</v>
      </c>
      <c r="I6">
        <v>1</v>
      </c>
      <c r="J6">
        <v>0</v>
      </c>
      <c r="K6">
        <v>0</v>
      </c>
      <c r="M6">
        <v>0</v>
      </c>
      <c r="O6">
        <f>SUMPRODUCT(F6:K6,$F$2:$K$2)-M6</f>
        <v>1</v>
      </c>
      <c r="P6" t="s">
        <v>7</v>
      </c>
      <c r="Q6">
        <v>1</v>
      </c>
    </row>
    <row r="7" spans="1:17" x14ac:dyDescent="0.3">
      <c r="A7" t="s">
        <v>1</v>
      </c>
      <c r="B7">
        <f>SUM(M5:M12)</f>
        <v>2</v>
      </c>
      <c r="C7" t="s">
        <v>8</v>
      </c>
      <c r="D7">
        <v>2</v>
      </c>
      <c r="F7">
        <v>1</v>
      </c>
      <c r="G7">
        <v>0</v>
      </c>
      <c r="H7">
        <v>0</v>
      </c>
      <c r="I7">
        <v>0</v>
      </c>
      <c r="J7">
        <v>1</v>
      </c>
      <c r="K7">
        <v>0</v>
      </c>
      <c r="M7">
        <v>0</v>
      </c>
      <c r="O7">
        <f t="shared" ref="O7:O12" si="0">SUMPRODUCT(F7:K7,$F$2:$K$2)-M7</f>
        <v>1</v>
      </c>
      <c r="P7" t="s">
        <v>7</v>
      </c>
      <c r="Q7">
        <v>1</v>
      </c>
    </row>
    <row r="8" spans="1:17" x14ac:dyDescent="0.3">
      <c r="A8" t="s">
        <v>2</v>
      </c>
      <c r="B8">
        <f>SUM(F2:K2)</f>
        <v>4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M8">
        <v>1</v>
      </c>
      <c r="O8">
        <f t="shared" si="0"/>
        <v>1</v>
      </c>
      <c r="P8" t="s">
        <v>7</v>
      </c>
      <c r="Q8">
        <v>1</v>
      </c>
    </row>
    <row r="9" spans="1:17" x14ac:dyDescent="0.3">
      <c r="F9">
        <v>0</v>
      </c>
      <c r="G9">
        <v>1</v>
      </c>
      <c r="H9">
        <v>0</v>
      </c>
      <c r="I9">
        <v>0</v>
      </c>
      <c r="J9">
        <v>0</v>
      </c>
      <c r="K9">
        <v>1</v>
      </c>
      <c r="M9">
        <v>0</v>
      </c>
      <c r="O9">
        <f t="shared" si="0"/>
        <v>1</v>
      </c>
      <c r="P9" t="s">
        <v>7</v>
      </c>
      <c r="Q9">
        <v>1</v>
      </c>
    </row>
    <row r="10" spans="1:17" x14ac:dyDescent="0.3">
      <c r="F10">
        <v>0</v>
      </c>
      <c r="G10">
        <v>0</v>
      </c>
      <c r="H10">
        <v>1</v>
      </c>
      <c r="I10">
        <v>0</v>
      </c>
      <c r="J10">
        <v>1</v>
      </c>
      <c r="K10">
        <v>0</v>
      </c>
      <c r="M10">
        <v>1</v>
      </c>
      <c r="O10">
        <f t="shared" si="0"/>
        <v>1</v>
      </c>
      <c r="P10" t="s">
        <v>7</v>
      </c>
      <c r="Q10">
        <v>1</v>
      </c>
    </row>
    <row r="11" spans="1:17" x14ac:dyDescent="0.3">
      <c r="F11">
        <v>0</v>
      </c>
      <c r="G11">
        <v>0</v>
      </c>
      <c r="H11">
        <v>1</v>
      </c>
      <c r="I11">
        <v>0</v>
      </c>
      <c r="J11">
        <v>0</v>
      </c>
      <c r="K11">
        <v>1</v>
      </c>
      <c r="M11">
        <v>0</v>
      </c>
      <c r="O11">
        <f t="shared" si="0"/>
        <v>1</v>
      </c>
      <c r="P11" t="s">
        <v>7</v>
      </c>
      <c r="Q11">
        <v>1</v>
      </c>
    </row>
    <row r="12" spans="1:17" x14ac:dyDescent="0.3">
      <c r="F12">
        <v>0</v>
      </c>
      <c r="G12">
        <v>0</v>
      </c>
      <c r="H12">
        <v>0</v>
      </c>
      <c r="I12">
        <v>1</v>
      </c>
      <c r="J12">
        <v>0</v>
      </c>
      <c r="K12">
        <v>1</v>
      </c>
      <c r="M12">
        <v>0</v>
      </c>
      <c r="O12">
        <f t="shared" si="0"/>
        <v>1</v>
      </c>
      <c r="P12" t="s">
        <v>7</v>
      </c>
      <c r="Q12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Adj</vt:lpstr>
      <vt:lpstr>Optim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Aadharsh Aadhithya</dc:creator>
  <cp:lastModifiedBy>Aadharsh Aadhithya</cp:lastModifiedBy>
  <dcterms:created xsi:type="dcterms:W3CDTF">2022-02-23T09:46:20Z</dcterms:created>
  <dcterms:modified xsi:type="dcterms:W3CDTF">2022-02-23T10:49:50Z</dcterms:modified>
</cp:coreProperties>
</file>